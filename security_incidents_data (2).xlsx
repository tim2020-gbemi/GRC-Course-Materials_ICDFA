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GRC Course\GRC 102\ASSIGNMENT\"/>
    </mc:Choice>
  </mc:AlternateContent>
  <xr:revisionPtr revIDLastSave="0" documentId="13_ncr:1_{FB19A1B3-E615-47EB-A741-6C6C72FB46D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3" sheetId="3" r:id="rId1"/>
    <sheet name="Sheet5" sheetId="5" r:id="rId2"/>
    <sheet name="Sheet6" sheetId="6" r:id="rId3"/>
    <sheet name="Sheet7" sheetId="7" r:id="rId4"/>
    <sheet name="Sheet1" sheetId="1" r:id="rId5"/>
  </sheets>
  <calcPr calcId="181029"/>
  <pivotCaches>
    <pivotCache cacheId="14" r:id="rId6"/>
    <pivotCache cacheId="18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L6" i="1"/>
  <c r="L7" i="1"/>
  <c r="L4" i="1"/>
</calcChain>
</file>

<file path=xl/sharedStrings.xml><?xml version="1.0" encoding="utf-8"?>
<sst xmlns="http://schemas.openxmlformats.org/spreadsheetml/2006/main" count="652" uniqueCount="139">
  <si>
    <t>Incident_ID</t>
  </si>
  <si>
    <t>Date</t>
  </si>
  <si>
    <t>Incident_Type</t>
  </si>
  <si>
    <t>Severity</t>
  </si>
  <si>
    <t>Status</t>
  </si>
  <si>
    <t>Department</t>
  </si>
  <si>
    <t>Responsible_Team</t>
  </si>
  <si>
    <t>Resolution_Time_Days</t>
  </si>
  <si>
    <t>Cost_Impact_USD</t>
  </si>
  <si>
    <t>INC0001</t>
  </si>
  <si>
    <t>Malware</t>
  </si>
  <si>
    <t>Medium</t>
  </si>
  <si>
    <t>Open</t>
  </si>
  <si>
    <t>Operations</t>
  </si>
  <si>
    <t>Compliance</t>
  </si>
  <si>
    <t>INC0002</t>
  </si>
  <si>
    <t>Misconfiguration</t>
  </si>
  <si>
    <t>High</t>
  </si>
  <si>
    <t>On Hold</t>
  </si>
  <si>
    <t>Finance</t>
  </si>
  <si>
    <t>INC0003</t>
  </si>
  <si>
    <t>Closed</t>
  </si>
  <si>
    <t>HR</t>
  </si>
  <si>
    <t>IT Security</t>
  </si>
  <si>
    <t>INC0004</t>
  </si>
  <si>
    <t>SOC</t>
  </si>
  <si>
    <t>INC0005</t>
  </si>
  <si>
    <t>DDoS</t>
  </si>
  <si>
    <t>INC0006</t>
  </si>
  <si>
    <t>Low</t>
  </si>
  <si>
    <t>INC0007</t>
  </si>
  <si>
    <t>Phishing</t>
  </si>
  <si>
    <t>INC0008</t>
  </si>
  <si>
    <t>Unauthorized Access</t>
  </si>
  <si>
    <t>INC0009</t>
  </si>
  <si>
    <t>In Progress</t>
  </si>
  <si>
    <t>INC0010</t>
  </si>
  <si>
    <t>INC0011</t>
  </si>
  <si>
    <t>Data Leak</t>
  </si>
  <si>
    <t>INC0012</t>
  </si>
  <si>
    <t>IT</t>
  </si>
  <si>
    <t>INC0013</t>
  </si>
  <si>
    <t>Legal</t>
  </si>
  <si>
    <t>INC0014</t>
  </si>
  <si>
    <t>INC0015</t>
  </si>
  <si>
    <t>INC0016</t>
  </si>
  <si>
    <t>INC0017</t>
  </si>
  <si>
    <t>INC0018</t>
  </si>
  <si>
    <t>DevOps</t>
  </si>
  <si>
    <t>INC0019</t>
  </si>
  <si>
    <t>INC0020</t>
  </si>
  <si>
    <t>INC0021</t>
  </si>
  <si>
    <t>INC0022</t>
  </si>
  <si>
    <t>Critical</t>
  </si>
  <si>
    <t>INC0023</t>
  </si>
  <si>
    <t>INC0024</t>
  </si>
  <si>
    <t>INC0025</t>
  </si>
  <si>
    <t>INC0026</t>
  </si>
  <si>
    <t>INC0027</t>
  </si>
  <si>
    <t>INC0028</t>
  </si>
  <si>
    <t>INC0029</t>
  </si>
  <si>
    <t>INC0030</t>
  </si>
  <si>
    <t>INC0031</t>
  </si>
  <si>
    <t>INC0032</t>
  </si>
  <si>
    <t>INC0033</t>
  </si>
  <si>
    <t>INC0034</t>
  </si>
  <si>
    <t>INC0035</t>
  </si>
  <si>
    <t>INC0036</t>
  </si>
  <si>
    <t>INC0037</t>
  </si>
  <si>
    <t>INC0038</t>
  </si>
  <si>
    <t>INC0039</t>
  </si>
  <si>
    <t>INC0040</t>
  </si>
  <si>
    <t>INC0041</t>
  </si>
  <si>
    <t>INC0042</t>
  </si>
  <si>
    <t>INC0043</t>
  </si>
  <si>
    <t>INC0044</t>
  </si>
  <si>
    <t>INC0045</t>
  </si>
  <si>
    <t>INC0046</t>
  </si>
  <si>
    <t>INC0047</t>
  </si>
  <si>
    <t>INC0048</t>
  </si>
  <si>
    <t>INC0049</t>
  </si>
  <si>
    <t>INC0050</t>
  </si>
  <si>
    <t>INC0051</t>
  </si>
  <si>
    <t>INC0052</t>
  </si>
  <si>
    <t>INC0053</t>
  </si>
  <si>
    <t>INC0054</t>
  </si>
  <si>
    <t>INC0055</t>
  </si>
  <si>
    <t>INC0056</t>
  </si>
  <si>
    <t>INC0057</t>
  </si>
  <si>
    <t>INC0058</t>
  </si>
  <si>
    <t>INC0059</t>
  </si>
  <si>
    <t>INC0060</t>
  </si>
  <si>
    <t>INC0061</t>
  </si>
  <si>
    <t>INC0062</t>
  </si>
  <si>
    <t>INC0063</t>
  </si>
  <si>
    <t>INC0064</t>
  </si>
  <si>
    <t>INC0065</t>
  </si>
  <si>
    <t>INC0066</t>
  </si>
  <si>
    <t>INC0067</t>
  </si>
  <si>
    <t>INC0068</t>
  </si>
  <si>
    <t>INC0069</t>
  </si>
  <si>
    <t>INC0070</t>
  </si>
  <si>
    <t>INC0071</t>
  </si>
  <si>
    <t>INC0072</t>
  </si>
  <si>
    <t>INC0073</t>
  </si>
  <si>
    <t>INC0074</t>
  </si>
  <si>
    <t>INC0075</t>
  </si>
  <si>
    <t>INC0076</t>
  </si>
  <si>
    <t>INC0077</t>
  </si>
  <si>
    <t>INC0078</t>
  </si>
  <si>
    <t>INC0079</t>
  </si>
  <si>
    <t>INC0080</t>
  </si>
  <si>
    <t>INC0081</t>
  </si>
  <si>
    <t>INC0082</t>
  </si>
  <si>
    <t>INC0083</t>
  </si>
  <si>
    <t>INC0084</t>
  </si>
  <si>
    <t>INC0085</t>
  </si>
  <si>
    <t>INC0086</t>
  </si>
  <si>
    <t>INC0087</t>
  </si>
  <si>
    <t>INC0088</t>
  </si>
  <si>
    <t>INC0089</t>
  </si>
  <si>
    <t>INC0090</t>
  </si>
  <si>
    <t>INC0091</t>
  </si>
  <si>
    <t>INC0092</t>
  </si>
  <si>
    <t>INC0093</t>
  </si>
  <si>
    <t>INC0094</t>
  </si>
  <si>
    <t>INC0095</t>
  </si>
  <si>
    <t>INC0096</t>
  </si>
  <si>
    <t>INC0097</t>
  </si>
  <si>
    <t>INC0098</t>
  </si>
  <si>
    <t>INC0099</t>
  </si>
  <si>
    <t>INC0100</t>
  </si>
  <si>
    <t>Row Labels</t>
  </si>
  <si>
    <t>Grand Total</t>
  </si>
  <si>
    <t>Count of Incident_ID</t>
  </si>
  <si>
    <t>Sum of Cost_Impact_USD</t>
  </si>
  <si>
    <t>Column Labels</t>
  </si>
  <si>
    <t>Average Resolution_time_days by Incident</t>
  </si>
  <si>
    <t>Sum of Average Resolution_time_days by 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</si>
</sst>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71" formatCode="_-[$$-409]* #,##0.0_ ;_-[$$-409]* \-#,##0.0\ ;_-[$$-409]* &quot;-&quot;??_ ;_-@_ "/>
    <numFmt numFmtId="179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171" fontId="1" fillId="0" borderId="1" xfId="0" applyNumberFormat="1" applyFont="1" applyBorder="1" applyAlignment="1">
      <alignment horizontal="center" vertical="top"/>
    </xf>
    <xf numFmtId="17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79" fontId="0" fillId="0" borderId="0" xfId="0" applyNumberFormat="1"/>
  </cellXfs>
  <cellStyles count="1">
    <cellStyle name="Normal" xfId="0" builtinId="0"/>
  </cellStyles>
  <dxfs count="1">
    <dxf>
      <numFmt numFmtId="179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[security_incidents_data.xlsx]Sheet3!PivotTable2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Distibution of Incident by Incident Type</a:t>
            </a:r>
          </a:p>
        </c:rich>
      </c:tx>
      <c:layout>
        <c:manualLayout>
          <c:xMode val="edge"/>
          <c:yMode val="edge"/>
          <c:x val="0.217569335083114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Sheet3!$A$4:$A$10</c:f>
              <c:strCache>
                <c:ptCount val="6"/>
                <c:pt idx="0">
                  <c:v>Data Leak</c:v>
                </c:pt>
                <c:pt idx="1">
                  <c:v>DDoS</c:v>
                </c:pt>
                <c:pt idx="2">
                  <c:v>Malware</c:v>
                </c:pt>
                <c:pt idx="3">
                  <c:v>Misconfiguration</c:v>
                </c:pt>
                <c:pt idx="4">
                  <c:v>Phishing</c:v>
                </c:pt>
                <c:pt idx="5">
                  <c:v>Unauthorized Access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20</c:v>
                </c:pt>
                <c:pt idx="1">
                  <c:v>15</c:v>
                </c:pt>
                <c:pt idx="2">
                  <c:v>19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4-4B94-888A-C0E4A87B1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2866896"/>
        <c:axId val="1762868336"/>
        <c:axId val="0"/>
      </c:bar3DChart>
      <c:catAx>
        <c:axId val="1762866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Incident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68336"/>
        <c:crosses val="autoZero"/>
        <c:auto val="1"/>
        <c:lblAlgn val="ctr"/>
        <c:lblOffset val="100"/>
        <c:noMultiLvlLbl val="0"/>
      </c:catAx>
      <c:valAx>
        <c:axId val="17628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 of Incident_Type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[security_incidents_data.xlsx]Sheet5!PivotTable4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50"/>
              <a:t>Cost Impact by Department &amp;</a:t>
            </a:r>
            <a:r>
              <a:rPr lang="en-GB" sz="1050" baseline="0"/>
              <a:t> Responsible Team</a:t>
            </a:r>
            <a:endParaRPr lang="en-GB" sz="1050"/>
          </a:p>
        </c:rich>
      </c:tx>
      <c:layout>
        <c:manualLayout>
          <c:xMode val="edge"/>
          <c:yMode val="edge"/>
          <c:x val="0.24060647029614143"/>
          <c:y val="5.9782445450449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Legal</c:v>
                </c:pt>
                <c:pt idx="4">
                  <c:v>Operations</c:v>
                </c:pt>
              </c:strCache>
            </c:strRef>
          </c:cat>
          <c:val>
            <c:numRef>
              <c:f>Sheet5!$B$5:$B$10</c:f>
              <c:numCache>
                <c:formatCode>General</c:formatCode>
                <c:ptCount val="5"/>
                <c:pt idx="0">
                  <c:v>590927</c:v>
                </c:pt>
                <c:pt idx="1">
                  <c:v>193731</c:v>
                </c:pt>
                <c:pt idx="2">
                  <c:v>249581</c:v>
                </c:pt>
                <c:pt idx="3">
                  <c:v>490686</c:v>
                </c:pt>
                <c:pt idx="4">
                  <c:v>191374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7-4334-9196-8FA6C3D8E020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DevOps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Legal</c:v>
                </c:pt>
                <c:pt idx="4">
                  <c:v>Operations</c:v>
                </c:pt>
              </c:strCache>
            </c:strRef>
          </c:cat>
          <c:val>
            <c:numRef>
              <c:f>Sheet5!$C$5:$C$10</c:f>
              <c:numCache>
                <c:formatCode>General</c:formatCode>
                <c:ptCount val="5"/>
                <c:pt idx="0">
                  <c:v>228778</c:v>
                </c:pt>
                <c:pt idx="1">
                  <c:v>237920</c:v>
                </c:pt>
                <c:pt idx="2">
                  <c:v>333607</c:v>
                </c:pt>
                <c:pt idx="3">
                  <c:v>299985</c:v>
                </c:pt>
                <c:pt idx="4">
                  <c:v>219916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7-4334-9196-8FA6C3D8E020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IT Security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Legal</c:v>
                </c:pt>
                <c:pt idx="4">
                  <c:v>Operations</c:v>
                </c:pt>
              </c:strCache>
            </c:strRef>
          </c:cat>
          <c:val>
            <c:numRef>
              <c:f>Sheet5!$D$5:$D$10</c:f>
              <c:numCache>
                <c:formatCode>General</c:formatCode>
                <c:ptCount val="5"/>
                <c:pt idx="0">
                  <c:v>329030</c:v>
                </c:pt>
                <c:pt idx="1">
                  <c:v>319030</c:v>
                </c:pt>
                <c:pt idx="2">
                  <c:v>267515</c:v>
                </c:pt>
                <c:pt idx="3">
                  <c:v>306203</c:v>
                </c:pt>
                <c:pt idx="4">
                  <c:v>130195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7-4334-9196-8FA6C3D8E020}"/>
            </c:ext>
          </c:extLst>
        </c:ser>
        <c:ser>
          <c:idx val="3"/>
          <c:order val="3"/>
          <c:tx>
            <c:strRef>
              <c:f>Sheet5!$E$3:$E$4</c:f>
              <c:strCache>
                <c:ptCount val="1"/>
                <c:pt idx="0">
                  <c:v>SOC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Legal</c:v>
                </c:pt>
                <c:pt idx="4">
                  <c:v>Operations</c:v>
                </c:pt>
              </c:strCache>
            </c:strRef>
          </c:cat>
          <c:val>
            <c:numRef>
              <c:f>Sheet5!$E$5:$E$10</c:f>
              <c:numCache>
                <c:formatCode>General</c:formatCode>
                <c:ptCount val="5"/>
                <c:pt idx="0">
                  <c:v>222197</c:v>
                </c:pt>
                <c:pt idx="1">
                  <c:v>128521</c:v>
                </c:pt>
                <c:pt idx="2">
                  <c:v>262962</c:v>
                </c:pt>
                <c:pt idx="3">
                  <c:v>105740</c:v>
                </c:pt>
                <c:pt idx="4">
                  <c:v>226084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7-4334-9196-8FA6C3D8E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199264"/>
        <c:axId val="1789200224"/>
      </c:barChart>
      <c:catAx>
        <c:axId val="1789199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layout>
            <c:manualLayout>
              <c:xMode val="edge"/>
              <c:yMode val="edge"/>
              <c:x val="0.32857832426119155"/>
              <c:y val="0.86576046030457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00224"/>
        <c:crosses val="autoZero"/>
        <c:auto val="1"/>
        <c:lblAlgn val="ctr"/>
        <c:lblOffset val="100"/>
        <c:noMultiLvlLbl val="0"/>
      </c:catAx>
      <c:valAx>
        <c:axId val="17892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Cost_Impact_USD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7397747156605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9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[security_incidents_data.xlsx]Sheet6!PivotTable5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Status Distribution</a:t>
            </a:r>
          </a:p>
        </c:rich>
      </c:tx>
      <c:layout>
        <c:manualLayout>
          <c:xMode val="edge"/>
          <c:yMode val="edge"/>
          <c:x val="0.32290966754155731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Sheet6!$A$4:$A$8</c:f>
              <c:strCache>
                <c:ptCount val="4"/>
                <c:pt idx="0">
                  <c:v>Closed</c:v>
                </c:pt>
                <c:pt idx="1">
                  <c:v>In Progress</c:v>
                </c:pt>
                <c:pt idx="2">
                  <c:v>On Hold</c:v>
                </c:pt>
                <c:pt idx="3">
                  <c:v>Open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60</c:v>
                </c:pt>
                <c:pt idx="1">
                  <c:v>14</c:v>
                </c:pt>
                <c:pt idx="2">
                  <c:v>9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8-4FCD-AD88-A0A81B704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[security_incidents_data.xlsx]Sheet7!PivotTable6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Average_Resolution_Time_Days</a:t>
            </a:r>
            <a:r>
              <a:rPr lang="en-GB" baseline="0"/>
              <a:t> by Severity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Sheet7!$B$4:$B$8</c:f>
              <c:numCache>
                <c:formatCode>0.0</c:formatCode>
                <c:ptCount val="4"/>
                <c:pt idx="0">
                  <c:v>13.916666666666666</c:v>
                </c:pt>
                <c:pt idx="1">
                  <c:v>15.766666666666667</c:v>
                </c:pt>
                <c:pt idx="2">
                  <c:v>13.294117647058824</c:v>
                </c:pt>
                <c:pt idx="3">
                  <c:v>15.975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8-4C15-A116-2F352E94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865312"/>
        <c:axId val="1952860032"/>
      </c:barChart>
      <c:catAx>
        <c:axId val="195286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Severity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60032"/>
        <c:crosses val="autoZero"/>
        <c:auto val="1"/>
        <c:lblAlgn val="ctr"/>
        <c:lblOffset val="100"/>
        <c:noMultiLvlLbl val="0"/>
      </c:catAx>
      <c:valAx>
        <c:axId val="19528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Sun of Average_Resolution_Time_Days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03099664625255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8</xdr:row>
      <xdr:rowOff>45720</xdr:rowOff>
    </xdr:from>
    <xdr:to>
      <xdr:col>10</xdr:col>
      <xdr:colOff>106680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8A803-EBC6-9721-13ED-ACD2C0F73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11</xdr:row>
      <xdr:rowOff>38100</xdr:rowOff>
    </xdr:from>
    <xdr:to>
      <xdr:col>10</xdr:col>
      <xdr:colOff>236220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B9C36-3AAF-3028-4EE1-E2F50647B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8</xdr:row>
      <xdr:rowOff>68580</xdr:rowOff>
    </xdr:from>
    <xdr:to>
      <xdr:col>8</xdr:col>
      <xdr:colOff>548640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68AB5-BE71-BF57-0E67-9C3F69224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22860</xdr:rowOff>
    </xdr:from>
    <xdr:to>
      <xdr:col>10</xdr:col>
      <xdr:colOff>152400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20B41-580F-FCBE-3719-65F2A083C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648615740742" createdVersion="8" refreshedVersion="8" minRefreshableVersion="3" recordCount="100" xr:uid="{DED3829B-70D5-4A5E-B96B-177C84446E8F}">
  <cacheSource type="worksheet">
    <worksheetSource ref="A1:I101" sheet="Sheet1"/>
  </cacheSource>
  <cacheFields count="9">
    <cacheField name="Incident_ID" numFmtId="0">
      <sharedItems/>
    </cacheField>
    <cacheField name="Date" numFmtId="165">
      <sharedItems containsSemiMixedTypes="0" containsNonDate="0" containsDate="1" containsString="0" minDate="2024-01-03T00:00:00" maxDate="2024-12-30T00:00:00"/>
    </cacheField>
    <cacheField name="Incident_Type" numFmtId="0">
      <sharedItems count="6">
        <s v="Malware"/>
        <s v="Misconfiguration"/>
        <s v="DDoS"/>
        <s v="Phishing"/>
        <s v="Unauthorized Access"/>
        <s v="Data Leak"/>
      </sharedItems>
    </cacheField>
    <cacheField name="Severity" numFmtId="0">
      <sharedItems count="4">
        <s v="Medium"/>
        <s v="High"/>
        <s v="Low"/>
        <s v="Critical"/>
      </sharedItems>
    </cacheField>
    <cacheField name="Status" numFmtId="0">
      <sharedItems count="4">
        <s v="Open"/>
        <s v="On Hold"/>
        <s v="Closed"/>
        <s v="In Progress"/>
      </sharedItems>
    </cacheField>
    <cacheField name="Department" numFmtId="0">
      <sharedItems count="5">
        <s v="Operations"/>
        <s v="Finance"/>
        <s v="HR"/>
        <s v="IT"/>
        <s v="Legal"/>
      </sharedItems>
    </cacheField>
    <cacheField name="Responsible_Team" numFmtId="0">
      <sharedItems count="4">
        <s v="Compliance"/>
        <s v="IT Security"/>
        <s v="SOC"/>
        <s v="DevOps"/>
      </sharedItems>
    </cacheField>
    <cacheField name="Resolution_Time_Days" numFmtId="0">
      <sharedItems containsSemiMixedTypes="0" containsString="0" containsNumber="1" containsInteger="1" minValue="1" maxValue="29"/>
    </cacheField>
    <cacheField name="Cost_Impact_USD" numFmtId="171">
      <sharedItems containsSemiMixedTypes="0" containsString="0" containsNumber="1" containsInteger="1" minValue="1306" maxValue="99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686172106478" createdVersion="8" refreshedVersion="8" minRefreshableVersion="3" recordCount="4" xr:uid="{7B1D2F04-4AA1-49CB-85EB-F18BD7FC58A6}">
  <cacheSource type="worksheet">
    <worksheetSource ref="K3:L7" sheet="Sheet1"/>
  </cacheSource>
  <cacheFields count="2">
    <cacheField name="Severity" numFmtId="0">
      <sharedItems count="4">
        <s v="Critical"/>
        <s v="High"/>
        <s v="Medium"/>
        <s v="Low"/>
      </sharedItems>
    </cacheField>
    <cacheField name="Average Resolution_time_days by Incident" numFmtId="2">
      <sharedItems containsSemiMixedTypes="0" containsString="0" containsNumber="1" minValue="13.294117647058824" maxValue="15.9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INC0001"/>
    <d v="2024-05-16T00:00:00"/>
    <x v="0"/>
    <x v="0"/>
    <x v="0"/>
    <x v="0"/>
    <x v="0"/>
    <n v="16"/>
    <n v="94101"/>
  </r>
  <r>
    <s v="INC0002"/>
    <d v="2024-05-20T00:00:00"/>
    <x v="1"/>
    <x v="1"/>
    <x v="1"/>
    <x v="1"/>
    <x v="0"/>
    <n v="17"/>
    <n v="85119"/>
  </r>
  <r>
    <s v="INC0003"/>
    <d v="2024-12-27T00:00:00"/>
    <x v="0"/>
    <x v="1"/>
    <x v="2"/>
    <x v="2"/>
    <x v="1"/>
    <n v="8"/>
    <n v="99720"/>
  </r>
  <r>
    <s v="INC0004"/>
    <d v="2024-04-23T00:00:00"/>
    <x v="0"/>
    <x v="1"/>
    <x v="2"/>
    <x v="2"/>
    <x v="2"/>
    <n v="13"/>
    <n v="80858"/>
  </r>
  <r>
    <s v="INC0005"/>
    <d v="2024-02-26T00:00:00"/>
    <x v="2"/>
    <x v="1"/>
    <x v="2"/>
    <x v="1"/>
    <x v="1"/>
    <n v="26"/>
    <n v="14076"/>
  </r>
  <r>
    <s v="INC0006"/>
    <d v="2024-01-30T00:00:00"/>
    <x v="2"/>
    <x v="2"/>
    <x v="2"/>
    <x v="0"/>
    <x v="2"/>
    <n v="27"/>
    <n v="67086"/>
  </r>
  <r>
    <s v="INC0007"/>
    <d v="2024-05-18T00:00:00"/>
    <x v="3"/>
    <x v="1"/>
    <x v="2"/>
    <x v="1"/>
    <x v="2"/>
    <n v="23"/>
    <n v="41743"/>
  </r>
  <r>
    <s v="INC0008"/>
    <d v="2024-02-20T00:00:00"/>
    <x v="4"/>
    <x v="2"/>
    <x v="2"/>
    <x v="2"/>
    <x v="0"/>
    <n v="13"/>
    <n v="64337"/>
  </r>
  <r>
    <s v="INC0009"/>
    <d v="2024-09-23T00:00:00"/>
    <x v="2"/>
    <x v="0"/>
    <x v="3"/>
    <x v="2"/>
    <x v="0"/>
    <n v="10"/>
    <n v="96050"/>
  </r>
  <r>
    <s v="INC0010"/>
    <d v="2024-01-19T00:00:00"/>
    <x v="3"/>
    <x v="1"/>
    <x v="0"/>
    <x v="1"/>
    <x v="0"/>
    <n v="12"/>
    <n v="24146"/>
  </r>
  <r>
    <s v="INC0011"/>
    <d v="2024-12-23T00:00:00"/>
    <x v="5"/>
    <x v="1"/>
    <x v="2"/>
    <x v="1"/>
    <x v="2"/>
    <n v="21"/>
    <n v="95926"/>
  </r>
  <r>
    <s v="INC0012"/>
    <d v="2024-01-09T00:00:00"/>
    <x v="5"/>
    <x v="0"/>
    <x v="2"/>
    <x v="3"/>
    <x v="2"/>
    <n v="17"/>
    <n v="3268"/>
  </r>
  <r>
    <s v="INC0013"/>
    <d v="2024-02-01T00:00:00"/>
    <x v="0"/>
    <x v="0"/>
    <x v="2"/>
    <x v="4"/>
    <x v="0"/>
    <n v="18"/>
    <n v="6733"/>
  </r>
  <r>
    <s v="INC0014"/>
    <d v="2024-09-19T00:00:00"/>
    <x v="4"/>
    <x v="0"/>
    <x v="0"/>
    <x v="3"/>
    <x v="2"/>
    <n v="25"/>
    <n v="96403"/>
  </r>
  <r>
    <s v="INC0015"/>
    <d v="2024-02-22T00:00:00"/>
    <x v="5"/>
    <x v="0"/>
    <x v="2"/>
    <x v="3"/>
    <x v="1"/>
    <n v="15"/>
    <n v="19903"/>
  </r>
  <r>
    <s v="INC0016"/>
    <d v="2024-08-04T00:00:00"/>
    <x v="3"/>
    <x v="0"/>
    <x v="2"/>
    <x v="1"/>
    <x v="2"/>
    <n v="5"/>
    <n v="1306"/>
  </r>
  <r>
    <s v="INC0017"/>
    <d v="2024-01-06T00:00:00"/>
    <x v="4"/>
    <x v="2"/>
    <x v="2"/>
    <x v="2"/>
    <x v="1"/>
    <n v="14"/>
    <n v="25220"/>
  </r>
  <r>
    <s v="INC0018"/>
    <d v="2024-08-01T00:00:00"/>
    <x v="0"/>
    <x v="0"/>
    <x v="2"/>
    <x v="2"/>
    <x v="3"/>
    <n v="14"/>
    <n v="89091"/>
  </r>
  <r>
    <s v="INC0019"/>
    <d v="2024-03-11T00:00:00"/>
    <x v="4"/>
    <x v="2"/>
    <x v="2"/>
    <x v="0"/>
    <x v="2"/>
    <n v="13"/>
    <n v="4320"/>
  </r>
  <r>
    <s v="INC0020"/>
    <d v="2024-11-13T00:00:00"/>
    <x v="0"/>
    <x v="0"/>
    <x v="2"/>
    <x v="2"/>
    <x v="1"/>
    <n v="29"/>
    <n v="36084"/>
  </r>
  <r>
    <s v="INC0021"/>
    <d v="2024-05-30T00:00:00"/>
    <x v="0"/>
    <x v="0"/>
    <x v="2"/>
    <x v="1"/>
    <x v="0"/>
    <n v="19"/>
    <n v="68931"/>
  </r>
  <r>
    <s v="INC0022"/>
    <d v="2024-11-29T00:00:00"/>
    <x v="4"/>
    <x v="3"/>
    <x v="2"/>
    <x v="1"/>
    <x v="2"/>
    <n v="19"/>
    <n v="8981"/>
  </r>
  <r>
    <s v="INC0023"/>
    <d v="2024-04-22T00:00:00"/>
    <x v="0"/>
    <x v="0"/>
    <x v="2"/>
    <x v="0"/>
    <x v="2"/>
    <n v="27"/>
    <n v="28208"/>
  </r>
  <r>
    <s v="INC0024"/>
    <d v="2024-05-18T00:00:00"/>
    <x v="5"/>
    <x v="1"/>
    <x v="2"/>
    <x v="4"/>
    <x v="1"/>
    <n v="14"/>
    <n v="70742"/>
  </r>
  <r>
    <s v="INC0025"/>
    <d v="2024-11-03T00:00:00"/>
    <x v="5"/>
    <x v="2"/>
    <x v="2"/>
    <x v="1"/>
    <x v="0"/>
    <n v="4"/>
    <n v="28666"/>
  </r>
  <r>
    <s v="INC0026"/>
    <d v="2024-11-23T00:00:00"/>
    <x v="2"/>
    <x v="0"/>
    <x v="1"/>
    <x v="4"/>
    <x v="2"/>
    <n v="12"/>
    <n v="41949"/>
  </r>
  <r>
    <s v="INC0027"/>
    <d v="2024-12-11T00:00:00"/>
    <x v="4"/>
    <x v="1"/>
    <x v="2"/>
    <x v="2"/>
    <x v="1"/>
    <n v="14"/>
    <n v="63872"/>
  </r>
  <r>
    <s v="INC0028"/>
    <d v="2024-11-09T00:00:00"/>
    <x v="5"/>
    <x v="0"/>
    <x v="0"/>
    <x v="3"/>
    <x v="3"/>
    <n v="14"/>
    <n v="56187"/>
  </r>
  <r>
    <s v="INC0029"/>
    <d v="2024-04-23T00:00:00"/>
    <x v="1"/>
    <x v="0"/>
    <x v="2"/>
    <x v="1"/>
    <x v="1"/>
    <n v="18"/>
    <n v="84106"/>
  </r>
  <r>
    <s v="INC0030"/>
    <d v="2024-12-19T00:00:00"/>
    <x v="2"/>
    <x v="1"/>
    <x v="3"/>
    <x v="2"/>
    <x v="2"/>
    <n v="15"/>
    <n v="11425"/>
  </r>
  <r>
    <s v="INC0031"/>
    <d v="2024-10-10T00:00:00"/>
    <x v="0"/>
    <x v="0"/>
    <x v="2"/>
    <x v="4"/>
    <x v="3"/>
    <n v="5"/>
    <n v="97966"/>
  </r>
  <r>
    <s v="INC0032"/>
    <d v="2024-11-10T00:00:00"/>
    <x v="4"/>
    <x v="1"/>
    <x v="3"/>
    <x v="1"/>
    <x v="0"/>
    <n v="25"/>
    <n v="54092"/>
  </r>
  <r>
    <s v="INC0033"/>
    <d v="2024-07-17T00:00:00"/>
    <x v="2"/>
    <x v="2"/>
    <x v="2"/>
    <x v="3"/>
    <x v="0"/>
    <n v="5"/>
    <n v="80421"/>
  </r>
  <r>
    <s v="INC0034"/>
    <d v="2024-11-19T00:00:00"/>
    <x v="2"/>
    <x v="0"/>
    <x v="2"/>
    <x v="4"/>
    <x v="0"/>
    <n v="14"/>
    <n v="62803"/>
  </r>
  <r>
    <s v="INC0035"/>
    <d v="2024-04-12T00:00:00"/>
    <x v="5"/>
    <x v="3"/>
    <x v="2"/>
    <x v="2"/>
    <x v="3"/>
    <n v="14"/>
    <n v="55150"/>
  </r>
  <r>
    <s v="INC0036"/>
    <d v="2024-07-22T00:00:00"/>
    <x v="4"/>
    <x v="0"/>
    <x v="3"/>
    <x v="0"/>
    <x v="1"/>
    <n v="5"/>
    <n v="12951"/>
  </r>
  <r>
    <s v="INC0037"/>
    <d v="2024-02-23T00:00:00"/>
    <x v="3"/>
    <x v="1"/>
    <x v="2"/>
    <x v="3"/>
    <x v="1"/>
    <n v="17"/>
    <n v="32741"/>
  </r>
  <r>
    <s v="INC0038"/>
    <d v="2024-11-21T00:00:00"/>
    <x v="2"/>
    <x v="2"/>
    <x v="1"/>
    <x v="4"/>
    <x v="0"/>
    <n v="1"/>
    <n v="40909"/>
  </r>
  <r>
    <s v="INC0039"/>
    <d v="2024-08-07T00:00:00"/>
    <x v="5"/>
    <x v="0"/>
    <x v="0"/>
    <x v="1"/>
    <x v="3"/>
    <n v="15"/>
    <n v="89203"/>
  </r>
  <r>
    <s v="INC0040"/>
    <d v="2024-09-27T00:00:00"/>
    <x v="0"/>
    <x v="0"/>
    <x v="3"/>
    <x v="1"/>
    <x v="1"/>
    <n v="20"/>
    <n v="51653"/>
  </r>
  <r>
    <s v="INC0041"/>
    <d v="2024-06-09T00:00:00"/>
    <x v="3"/>
    <x v="2"/>
    <x v="3"/>
    <x v="2"/>
    <x v="3"/>
    <n v="2"/>
    <n v="60572"/>
  </r>
  <r>
    <s v="INC0042"/>
    <d v="2024-01-06T00:00:00"/>
    <x v="4"/>
    <x v="2"/>
    <x v="1"/>
    <x v="0"/>
    <x v="1"/>
    <n v="17"/>
    <n v="62421"/>
  </r>
  <r>
    <s v="INC0043"/>
    <d v="2024-08-10T00:00:00"/>
    <x v="4"/>
    <x v="1"/>
    <x v="0"/>
    <x v="3"/>
    <x v="3"/>
    <n v="21"/>
    <n v="31592"/>
  </r>
  <r>
    <s v="INC0044"/>
    <d v="2024-08-27T00:00:00"/>
    <x v="5"/>
    <x v="0"/>
    <x v="0"/>
    <x v="1"/>
    <x v="0"/>
    <n v="1"/>
    <n v="19160"/>
  </r>
  <r>
    <s v="INC0045"/>
    <d v="2024-03-04T00:00:00"/>
    <x v="3"/>
    <x v="0"/>
    <x v="2"/>
    <x v="4"/>
    <x v="2"/>
    <n v="13"/>
    <n v="63791"/>
  </r>
  <r>
    <s v="INC0046"/>
    <d v="2024-05-26T00:00:00"/>
    <x v="0"/>
    <x v="1"/>
    <x v="2"/>
    <x v="0"/>
    <x v="2"/>
    <n v="10"/>
    <n v="38906"/>
  </r>
  <r>
    <s v="INC0047"/>
    <d v="2024-09-20T00:00:00"/>
    <x v="5"/>
    <x v="1"/>
    <x v="3"/>
    <x v="2"/>
    <x v="2"/>
    <n v="22"/>
    <n v="14241"/>
  </r>
  <r>
    <s v="INC0048"/>
    <d v="2024-03-07T00:00:00"/>
    <x v="2"/>
    <x v="1"/>
    <x v="2"/>
    <x v="1"/>
    <x v="1"/>
    <n v="11"/>
    <n v="32259"/>
  </r>
  <r>
    <s v="INC0049"/>
    <d v="2024-05-14T00:00:00"/>
    <x v="0"/>
    <x v="0"/>
    <x v="2"/>
    <x v="3"/>
    <x v="2"/>
    <n v="26"/>
    <n v="43535"/>
  </r>
  <r>
    <s v="INC0050"/>
    <d v="2024-12-24T00:00:00"/>
    <x v="5"/>
    <x v="0"/>
    <x v="2"/>
    <x v="4"/>
    <x v="0"/>
    <n v="6"/>
    <n v="61363"/>
  </r>
  <r>
    <s v="INC0051"/>
    <d v="2024-07-29T00:00:00"/>
    <x v="3"/>
    <x v="1"/>
    <x v="0"/>
    <x v="0"/>
    <x v="3"/>
    <n v="13"/>
    <n v="58037"/>
  </r>
  <r>
    <s v="INC0052"/>
    <d v="2024-09-20T00:00:00"/>
    <x v="4"/>
    <x v="0"/>
    <x v="2"/>
    <x v="0"/>
    <x v="3"/>
    <n v="24"/>
    <n v="36925"/>
  </r>
  <r>
    <s v="INC0053"/>
    <d v="2024-05-30T00:00:00"/>
    <x v="3"/>
    <x v="1"/>
    <x v="2"/>
    <x v="3"/>
    <x v="3"/>
    <n v="16"/>
    <n v="66518"/>
  </r>
  <r>
    <s v="INC0054"/>
    <d v="2024-02-27T00:00:00"/>
    <x v="3"/>
    <x v="2"/>
    <x v="2"/>
    <x v="1"/>
    <x v="3"/>
    <n v="8"/>
    <n v="64723"/>
  </r>
  <r>
    <s v="INC0055"/>
    <d v="2024-07-06T00:00:00"/>
    <x v="5"/>
    <x v="0"/>
    <x v="2"/>
    <x v="2"/>
    <x v="3"/>
    <n v="29"/>
    <n v="33107"/>
  </r>
  <r>
    <s v="INC0056"/>
    <d v="2024-07-30T00:00:00"/>
    <x v="4"/>
    <x v="0"/>
    <x v="2"/>
    <x v="0"/>
    <x v="3"/>
    <n v="10"/>
    <n v="59794"/>
  </r>
  <r>
    <s v="INC0057"/>
    <d v="2024-08-09T00:00:00"/>
    <x v="3"/>
    <x v="2"/>
    <x v="2"/>
    <x v="3"/>
    <x v="2"/>
    <n v="14"/>
    <n v="55551"/>
  </r>
  <r>
    <s v="INC0058"/>
    <d v="2024-12-15T00:00:00"/>
    <x v="1"/>
    <x v="1"/>
    <x v="2"/>
    <x v="3"/>
    <x v="2"/>
    <n v="21"/>
    <n v="64205"/>
  </r>
  <r>
    <s v="INC0059"/>
    <d v="2024-01-16T00:00:00"/>
    <x v="3"/>
    <x v="3"/>
    <x v="2"/>
    <x v="0"/>
    <x v="3"/>
    <n v="27"/>
    <n v="2841"/>
  </r>
  <r>
    <s v="INC0060"/>
    <d v="2024-12-12T00:00:00"/>
    <x v="1"/>
    <x v="3"/>
    <x v="2"/>
    <x v="3"/>
    <x v="1"/>
    <n v="24"/>
    <n v="47804"/>
  </r>
  <r>
    <s v="INC0061"/>
    <d v="2024-04-21T00:00:00"/>
    <x v="0"/>
    <x v="0"/>
    <x v="0"/>
    <x v="3"/>
    <x v="1"/>
    <n v="13"/>
    <n v="73853"/>
  </r>
  <r>
    <s v="INC0062"/>
    <d v="2024-07-27T00:00:00"/>
    <x v="5"/>
    <x v="1"/>
    <x v="2"/>
    <x v="3"/>
    <x v="0"/>
    <n v="7"/>
    <n v="89412"/>
  </r>
  <r>
    <s v="INC0063"/>
    <d v="2024-03-11T00:00:00"/>
    <x v="4"/>
    <x v="1"/>
    <x v="3"/>
    <x v="0"/>
    <x v="2"/>
    <n v="3"/>
    <n v="87564"/>
  </r>
  <r>
    <s v="INC0064"/>
    <d v="2024-04-05T00:00:00"/>
    <x v="2"/>
    <x v="0"/>
    <x v="3"/>
    <x v="1"/>
    <x v="0"/>
    <n v="28"/>
    <n v="60687"/>
  </r>
  <r>
    <s v="INC0065"/>
    <d v="2024-10-19T00:00:00"/>
    <x v="4"/>
    <x v="3"/>
    <x v="2"/>
    <x v="1"/>
    <x v="0"/>
    <n v="1"/>
    <n v="74698"/>
  </r>
  <r>
    <s v="INC0066"/>
    <d v="2024-10-10T00:00:00"/>
    <x v="3"/>
    <x v="1"/>
    <x v="2"/>
    <x v="4"/>
    <x v="1"/>
    <n v="1"/>
    <n v="29064"/>
  </r>
  <r>
    <s v="INC0067"/>
    <d v="2024-11-06T00:00:00"/>
    <x v="2"/>
    <x v="1"/>
    <x v="2"/>
    <x v="3"/>
    <x v="3"/>
    <n v="14"/>
    <n v="86825"/>
  </r>
  <r>
    <s v="INC0068"/>
    <d v="2024-12-08T00:00:00"/>
    <x v="4"/>
    <x v="0"/>
    <x v="2"/>
    <x v="0"/>
    <x v="0"/>
    <n v="19"/>
    <n v="97273"/>
  </r>
  <r>
    <s v="INC0069"/>
    <d v="2024-08-04T00:00:00"/>
    <x v="4"/>
    <x v="0"/>
    <x v="3"/>
    <x v="4"/>
    <x v="0"/>
    <n v="24"/>
    <n v="56386"/>
  </r>
  <r>
    <s v="INC0070"/>
    <d v="2024-06-12T00:00:00"/>
    <x v="0"/>
    <x v="1"/>
    <x v="0"/>
    <x v="1"/>
    <x v="0"/>
    <n v="24"/>
    <n v="28873"/>
  </r>
  <r>
    <s v="INC0071"/>
    <d v="2024-12-29T00:00:00"/>
    <x v="2"/>
    <x v="2"/>
    <x v="1"/>
    <x v="1"/>
    <x v="1"/>
    <n v="11"/>
    <n v="19360"/>
  </r>
  <r>
    <s v="INC0072"/>
    <d v="2024-09-28T00:00:00"/>
    <x v="0"/>
    <x v="0"/>
    <x v="3"/>
    <x v="3"/>
    <x v="1"/>
    <n v="26"/>
    <n v="72918"/>
  </r>
  <r>
    <s v="INC0073"/>
    <d v="2024-12-05T00:00:00"/>
    <x v="3"/>
    <x v="3"/>
    <x v="2"/>
    <x v="3"/>
    <x v="0"/>
    <n v="2"/>
    <n v="79748"/>
  </r>
  <r>
    <s v="INC0074"/>
    <d v="2024-07-20T00:00:00"/>
    <x v="1"/>
    <x v="0"/>
    <x v="1"/>
    <x v="4"/>
    <x v="3"/>
    <n v="16"/>
    <n v="79882"/>
  </r>
  <r>
    <s v="INC0075"/>
    <d v="2024-09-28T00:00:00"/>
    <x v="2"/>
    <x v="1"/>
    <x v="0"/>
    <x v="4"/>
    <x v="0"/>
    <n v="8"/>
    <n v="82747"/>
  </r>
  <r>
    <s v="INC0076"/>
    <d v="2024-06-16T00:00:00"/>
    <x v="0"/>
    <x v="2"/>
    <x v="1"/>
    <x v="2"/>
    <x v="2"/>
    <n v="22"/>
    <n v="21997"/>
  </r>
  <r>
    <s v="INC0077"/>
    <d v="2024-02-06T00:00:00"/>
    <x v="3"/>
    <x v="0"/>
    <x v="0"/>
    <x v="1"/>
    <x v="0"/>
    <n v="23"/>
    <n v="75261"/>
  </r>
  <r>
    <s v="INC0078"/>
    <d v="2024-01-06T00:00:00"/>
    <x v="1"/>
    <x v="0"/>
    <x v="0"/>
    <x v="1"/>
    <x v="1"/>
    <n v="22"/>
    <n v="73401"/>
  </r>
  <r>
    <s v="INC0079"/>
    <d v="2024-12-23T00:00:00"/>
    <x v="1"/>
    <x v="3"/>
    <x v="2"/>
    <x v="3"/>
    <x v="1"/>
    <n v="19"/>
    <n v="20296"/>
  </r>
  <r>
    <s v="INC0080"/>
    <d v="2024-05-17T00:00:00"/>
    <x v="4"/>
    <x v="0"/>
    <x v="2"/>
    <x v="3"/>
    <x v="3"/>
    <n v="8"/>
    <n v="45561"/>
  </r>
  <r>
    <s v="INC0081"/>
    <d v="2024-11-02T00:00:00"/>
    <x v="0"/>
    <x v="1"/>
    <x v="2"/>
    <x v="0"/>
    <x v="1"/>
    <n v="4"/>
    <n v="23422"/>
  </r>
  <r>
    <s v="INC0082"/>
    <d v="2024-12-22T00:00:00"/>
    <x v="5"/>
    <x v="2"/>
    <x v="0"/>
    <x v="2"/>
    <x v="1"/>
    <n v="24"/>
    <n v="20051"/>
  </r>
  <r>
    <s v="INC0083"/>
    <d v="2024-07-29T00:00:00"/>
    <x v="4"/>
    <x v="3"/>
    <x v="2"/>
    <x v="4"/>
    <x v="0"/>
    <n v="13"/>
    <n v="95181"/>
  </r>
  <r>
    <s v="INC0084"/>
    <d v="2024-01-03T00:00:00"/>
    <x v="5"/>
    <x v="0"/>
    <x v="0"/>
    <x v="1"/>
    <x v="3"/>
    <n v="15"/>
    <n v="28422"/>
  </r>
  <r>
    <s v="INC0085"/>
    <d v="2024-10-25T00:00:00"/>
    <x v="0"/>
    <x v="0"/>
    <x v="3"/>
    <x v="2"/>
    <x v="1"/>
    <n v="6"/>
    <n v="74083"/>
  </r>
  <r>
    <s v="INC0086"/>
    <d v="2024-09-11T00:00:00"/>
    <x v="5"/>
    <x v="1"/>
    <x v="3"/>
    <x v="1"/>
    <x v="0"/>
    <n v="23"/>
    <n v="71294"/>
  </r>
  <r>
    <s v="INC0087"/>
    <d v="2024-07-24T00:00:00"/>
    <x v="1"/>
    <x v="0"/>
    <x v="0"/>
    <x v="1"/>
    <x v="3"/>
    <n v="29"/>
    <n v="19340"/>
  </r>
  <r>
    <s v="INC0088"/>
    <d v="2024-12-12T00:00:00"/>
    <x v="0"/>
    <x v="1"/>
    <x v="3"/>
    <x v="1"/>
    <x v="2"/>
    <n v="27"/>
    <n v="74241"/>
  </r>
  <r>
    <s v="INC0089"/>
    <d v="2024-01-06T00:00:00"/>
    <x v="1"/>
    <x v="3"/>
    <x v="2"/>
    <x v="0"/>
    <x v="1"/>
    <n v="19"/>
    <n v="31401"/>
  </r>
  <r>
    <s v="INC0090"/>
    <d v="2024-02-11T00:00:00"/>
    <x v="5"/>
    <x v="3"/>
    <x v="2"/>
    <x v="4"/>
    <x v="3"/>
    <n v="18"/>
    <n v="57816"/>
  </r>
  <r>
    <s v="INC0091"/>
    <d v="2024-05-25T00:00:00"/>
    <x v="2"/>
    <x v="1"/>
    <x v="1"/>
    <x v="4"/>
    <x v="1"/>
    <n v="24"/>
    <n v="28630"/>
  </r>
  <r>
    <s v="INC0092"/>
    <d v="2024-07-27T00:00:00"/>
    <x v="2"/>
    <x v="1"/>
    <x v="1"/>
    <x v="4"/>
    <x v="1"/>
    <n v="19"/>
    <n v="98972"/>
  </r>
  <r>
    <s v="INC0093"/>
    <d v="2024-08-01T00:00:00"/>
    <x v="3"/>
    <x v="0"/>
    <x v="2"/>
    <x v="1"/>
    <x v="1"/>
    <n v="2"/>
    <n v="54175"/>
  </r>
  <r>
    <s v="INC0094"/>
    <d v="2024-10-10T00:00:00"/>
    <x v="5"/>
    <x v="2"/>
    <x v="2"/>
    <x v="4"/>
    <x v="3"/>
    <n v="23"/>
    <n v="64321"/>
  </r>
  <r>
    <s v="INC0095"/>
    <d v="2024-08-16T00:00:00"/>
    <x v="1"/>
    <x v="0"/>
    <x v="2"/>
    <x v="0"/>
    <x v="3"/>
    <n v="5"/>
    <n v="62319"/>
  </r>
  <r>
    <s v="INC0096"/>
    <d v="2024-02-26T00:00:00"/>
    <x v="5"/>
    <x v="3"/>
    <x v="2"/>
    <x v="1"/>
    <x v="3"/>
    <n v="8"/>
    <n v="27090"/>
  </r>
  <r>
    <s v="INC0097"/>
    <d v="2024-01-20T00:00:00"/>
    <x v="4"/>
    <x v="3"/>
    <x v="2"/>
    <x v="3"/>
    <x v="3"/>
    <n v="3"/>
    <n v="46924"/>
  </r>
  <r>
    <s v="INC0098"/>
    <d v="2024-01-12T00:00:00"/>
    <x v="5"/>
    <x v="2"/>
    <x v="2"/>
    <x v="4"/>
    <x v="1"/>
    <n v="12"/>
    <n v="78795"/>
  </r>
  <r>
    <s v="INC0099"/>
    <d v="2024-09-08T00:00:00"/>
    <x v="4"/>
    <x v="0"/>
    <x v="2"/>
    <x v="4"/>
    <x v="0"/>
    <n v="12"/>
    <n v="84564"/>
  </r>
  <r>
    <s v="INC0100"/>
    <d v="2024-09-18T00:00:00"/>
    <x v="3"/>
    <x v="2"/>
    <x v="0"/>
    <x v="2"/>
    <x v="0"/>
    <n v="16"/>
    <n v="333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3.916666666666666"/>
  </r>
  <r>
    <x v="1"/>
    <n v="15.766666666666667"/>
  </r>
  <r>
    <x v="2"/>
    <n v="15.975"/>
  </r>
  <r>
    <x v="3"/>
    <n v="13.2941176470588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B35D2-8D34-4F53-B7F1-48646BA2ED38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9">
    <pivotField dataField="1" showAll="0"/>
    <pivotField numFmtId="165" showAll="0"/>
    <pivotField axis="axisRow" showAll="0">
      <items count="7">
        <item x="5"/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7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cid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4FE86-0E88-422C-83CF-163872DE6D0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0" firstHeaderRow="1" firstDataRow="2" firstDataCol="1"/>
  <pivotFields count="9">
    <pivotField showAll="0"/>
    <pivotField numFmtId="165"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dataField="1" numFmtId="17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Cost_Impact_USD" fld="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96D71-4CC5-421C-B5B4-ACCE4CFF636F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9">
    <pivotField dataField="1" showAll="0"/>
    <pivotField numFmtId="165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numFmtId="17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cid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79741-FE9B-421D-891F-F2BFCB2034DC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8" firstHeaderRow="1" firstDataRow="1" firstDataCol="1"/>
  <pivotFields count="2">
    <pivotField axis="axisRow" showAll="0">
      <items count="5">
        <item x="0"/>
        <item x="1"/>
        <item x="3"/>
        <item x="2"/>
        <item t="default"/>
      </items>
    </pivotField>
    <pivotField dataField="1"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 Resolution_time_days by Incident" fld="1" baseField="0" baseItem="0" numFmtId="179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0143-D2F6-4D25-A1B9-EBD3882E8193}">
  <dimension ref="A3:B10"/>
  <sheetViews>
    <sheetView workbookViewId="0">
      <selection activeCell="B32" sqref="B32"/>
    </sheetView>
  </sheetViews>
  <sheetFormatPr defaultRowHeight="14.4" x14ac:dyDescent="0.3"/>
  <cols>
    <col min="1" max="1" width="18.109375" bestFit="1" customWidth="1"/>
    <col min="2" max="2" width="18.6640625" bestFit="1" customWidth="1"/>
  </cols>
  <sheetData>
    <row r="3" spans="1:2" x14ac:dyDescent="0.3">
      <c r="A3" s="6" t="s">
        <v>132</v>
      </c>
      <c r="B3" t="s">
        <v>134</v>
      </c>
    </row>
    <row r="4" spans="1:2" x14ac:dyDescent="0.3">
      <c r="A4" s="7" t="s">
        <v>38</v>
      </c>
      <c r="B4" s="3">
        <v>20</v>
      </c>
    </row>
    <row r="5" spans="1:2" x14ac:dyDescent="0.3">
      <c r="A5" s="7" t="s">
        <v>27</v>
      </c>
      <c r="B5" s="3">
        <v>15</v>
      </c>
    </row>
    <row r="6" spans="1:2" x14ac:dyDescent="0.3">
      <c r="A6" s="7" t="s">
        <v>10</v>
      </c>
      <c r="B6" s="3">
        <v>19</v>
      </c>
    </row>
    <row r="7" spans="1:2" x14ac:dyDescent="0.3">
      <c r="A7" s="7" t="s">
        <v>16</v>
      </c>
      <c r="B7" s="3">
        <v>10</v>
      </c>
    </row>
    <row r="8" spans="1:2" x14ac:dyDescent="0.3">
      <c r="A8" s="7" t="s">
        <v>31</v>
      </c>
      <c r="B8" s="3">
        <v>16</v>
      </c>
    </row>
    <row r="9" spans="1:2" x14ac:dyDescent="0.3">
      <c r="A9" s="7" t="s">
        <v>33</v>
      </c>
      <c r="B9" s="3">
        <v>20</v>
      </c>
    </row>
    <row r="10" spans="1:2" x14ac:dyDescent="0.3">
      <c r="A10" s="7" t="s">
        <v>133</v>
      </c>
      <c r="B10" s="3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CCA8-BC38-4B1F-89E3-EF067761D77E}">
  <dimension ref="A3:F10"/>
  <sheetViews>
    <sheetView workbookViewId="0">
      <selection activeCell="L22" sqref="L22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3" width="8" bestFit="1" customWidth="1"/>
    <col min="4" max="4" width="9.77734375" bestFit="1" customWidth="1"/>
    <col min="5" max="5" width="7" bestFit="1" customWidth="1"/>
    <col min="6" max="6" width="10.77734375" bestFit="1" customWidth="1"/>
  </cols>
  <sheetData>
    <row r="3" spans="1:6" x14ac:dyDescent="0.3">
      <c r="A3" s="6" t="s">
        <v>135</v>
      </c>
      <c r="B3" s="6" t="s">
        <v>136</v>
      </c>
    </row>
    <row r="4" spans="1:6" x14ac:dyDescent="0.3">
      <c r="A4" s="6" t="s">
        <v>132</v>
      </c>
      <c r="B4" t="s">
        <v>14</v>
      </c>
      <c r="C4" t="s">
        <v>48</v>
      </c>
      <c r="D4" t="s">
        <v>23</v>
      </c>
      <c r="E4" t="s">
        <v>25</v>
      </c>
      <c r="F4" t="s">
        <v>133</v>
      </c>
    </row>
    <row r="5" spans="1:6" x14ac:dyDescent="0.3">
      <c r="A5" s="7" t="s">
        <v>19</v>
      </c>
      <c r="B5" s="3">
        <v>590927</v>
      </c>
      <c r="C5" s="3">
        <v>228778</v>
      </c>
      <c r="D5" s="3">
        <v>329030</v>
      </c>
      <c r="E5" s="3">
        <v>222197</v>
      </c>
      <c r="F5" s="3">
        <v>1370932</v>
      </c>
    </row>
    <row r="6" spans="1:6" x14ac:dyDescent="0.3">
      <c r="A6" s="7" t="s">
        <v>22</v>
      </c>
      <c r="B6" s="3">
        <v>193731</v>
      </c>
      <c r="C6" s="3">
        <v>237920</v>
      </c>
      <c r="D6" s="3">
        <v>319030</v>
      </c>
      <c r="E6" s="3">
        <v>128521</v>
      </c>
      <c r="F6" s="3">
        <v>879202</v>
      </c>
    </row>
    <row r="7" spans="1:6" x14ac:dyDescent="0.3">
      <c r="A7" s="7" t="s">
        <v>40</v>
      </c>
      <c r="B7" s="3">
        <v>249581</v>
      </c>
      <c r="C7" s="3">
        <v>333607</v>
      </c>
      <c r="D7" s="3">
        <v>267515</v>
      </c>
      <c r="E7" s="3">
        <v>262962</v>
      </c>
      <c r="F7" s="3">
        <v>1113665</v>
      </c>
    </row>
    <row r="8" spans="1:6" x14ac:dyDescent="0.3">
      <c r="A8" s="7" t="s">
        <v>42</v>
      </c>
      <c r="B8" s="3">
        <v>490686</v>
      </c>
      <c r="C8" s="3">
        <v>299985</v>
      </c>
      <c r="D8" s="3">
        <v>306203</v>
      </c>
      <c r="E8" s="3">
        <v>105740</v>
      </c>
      <c r="F8" s="3">
        <v>1202614</v>
      </c>
    </row>
    <row r="9" spans="1:6" x14ac:dyDescent="0.3">
      <c r="A9" s="7" t="s">
        <v>13</v>
      </c>
      <c r="B9" s="3">
        <v>191374</v>
      </c>
      <c r="C9" s="3">
        <v>219916</v>
      </c>
      <c r="D9" s="3">
        <v>130195</v>
      </c>
      <c r="E9" s="3">
        <v>226084</v>
      </c>
      <c r="F9" s="3">
        <v>767569</v>
      </c>
    </row>
    <row r="10" spans="1:6" x14ac:dyDescent="0.3">
      <c r="A10" s="7" t="s">
        <v>133</v>
      </c>
      <c r="B10" s="3">
        <v>1716299</v>
      </c>
      <c r="C10" s="3">
        <v>1320206</v>
      </c>
      <c r="D10" s="3">
        <v>1351973</v>
      </c>
      <c r="E10" s="3">
        <v>945504</v>
      </c>
      <c r="F10" s="3">
        <v>5333982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3819-F836-4A02-A11B-B56DCBD93027}">
  <dimension ref="A3:B8"/>
  <sheetViews>
    <sheetView tabSelected="1" workbookViewId="0">
      <selection activeCell="K19" sqref="K19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6" t="s">
        <v>132</v>
      </c>
      <c r="B3" t="s">
        <v>134</v>
      </c>
    </row>
    <row r="4" spans="1:2" x14ac:dyDescent="0.3">
      <c r="A4" s="7" t="s">
        <v>21</v>
      </c>
      <c r="B4" s="3">
        <v>60</v>
      </c>
    </row>
    <row r="5" spans="1:2" x14ac:dyDescent="0.3">
      <c r="A5" s="7" t="s">
        <v>35</v>
      </c>
      <c r="B5" s="3">
        <v>14</v>
      </c>
    </row>
    <row r="6" spans="1:2" x14ac:dyDescent="0.3">
      <c r="A6" s="7" t="s">
        <v>18</v>
      </c>
      <c r="B6" s="3">
        <v>9</v>
      </c>
    </row>
    <row r="7" spans="1:2" x14ac:dyDescent="0.3">
      <c r="A7" s="7" t="s">
        <v>12</v>
      </c>
      <c r="B7" s="3">
        <v>17</v>
      </c>
    </row>
    <row r="8" spans="1:2" x14ac:dyDescent="0.3">
      <c r="A8" s="7" t="s">
        <v>133</v>
      </c>
      <c r="B8" s="3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4B25-95A9-4DF0-9AC4-E74DA733448F}">
  <dimension ref="A3:B8"/>
  <sheetViews>
    <sheetView workbookViewId="0">
      <selection activeCell="M21" sqref="M21"/>
    </sheetView>
  </sheetViews>
  <sheetFormatPr defaultRowHeight="14.4" x14ac:dyDescent="0.3"/>
  <cols>
    <col min="1" max="1" width="12.5546875" bestFit="1" customWidth="1"/>
    <col min="2" max="2" width="44.109375" bestFit="1" customWidth="1"/>
  </cols>
  <sheetData>
    <row r="3" spans="1:2" x14ac:dyDescent="0.3">
      <c r="A3" s="6" t="s">
        <v>132</v>
      </c>
      <c r="B3" t="s">
        <v>138</v>
      </c>
    </row>
    <row r="4" spans="1:2" x14ac:dyDescent="0.3">
      <c r="A4" s="7" t="s">
        <v>53</v>
      </c>
      <c r="B4" s="9">
        <v>13.916666666666666</v>
      </c>
    </row>
    <row r="5" spans="1:2" x14ac:dyDescent="0.3">
      <c r="A5" s="7" t="s">
        <v>17</v>
      </c>
      <c r="B5" s="9">
        <v>15.766666666666667</v>
      </c>
    </row>
    <row r="6" spans="1:2" x14ac:dyDescent="0.3">
      <c r="A6" s="7" t="s">
        <v>29</v>
      </c>
      <c r="B6" s="9">
        <v>13.294117647058824</v>
      </c>
    </row>
    <row r="7" spans="1:2" x14ac:dyDescent="0.3">
      <c r="A7" s="7" t="s">
        <v>11</v>
      </c>
      <c r="B7" s="9">
        <v>15.975</v>
      </c>
    </row>
    <row r="8" spans="1:2" x14ac:dyDescent="0.3">
      <c r="A8" s="7" t="s">
        <v>133</v>
      </c>
      <c r="B8" s="9">
        <v>58.952450980392157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C2" workbookViewId="0">
      <selection activeCell="K4" sqref="K4:L7"/>
    </sheetView>
  </sheetViews>
  <sheetFormatPr defaultRowHeight="14.4" x14ac:dyDescent="0.3"/>
  <cols>
    <col min="1" max="1" width="10.6640625" bestFit="1" customWidth="1"/>
    <col min="2" max="3" width="18.109375" bestFit="1" customWidth="1"/>
    <col min="4" max="4" width="7.77734375" bestFit="1" customWidth="1"/>
    <col min="5" max="5" width="9.88671875" bestFit="1" customWidth="1"/>
    <col min="6" max="6" width="11.109375" bestFit="1" customWidth="1"/>
    <col min="7" max="7" width="16.77734375" bestFit="1" customWidth="1"/>
    <col min="8" max="8" width="20.21875" bestFit="1" customWidth="1"/>
    <col min="9" max="9" width="16.21875" style="5" bestFit="1" customWidth="1"/>
    <col min="12" max="12" width="36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12" x14ac:dyDescent="0.3">
      <c r="A2" t="s">
        <v>9</v>
      </c>
      <c r="B2" s="2">
        <v>45428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16</v>
      </c>
      <c r="I2" s="5">
        <v>94101</v>
      </c>
    </row>
    <row r="3" spans="1:12" x14ac:dyDescent="0.3">
      <c r="A3" t="s">
        <v>15</v>
      </c>
      <c r="B3" s="2">
        <v>45432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17</v>
      </c>
      <c r="I3" s="5">
        <v>85119</v>
      </c>
      <c r="K3" t="s">
        <v>3</v>
      </c>
      <c r="L3" t="s">
        <v>137</v>
      </c>
    </row>
    <row r="4" spans="1:12" x14ac:dyDescent="0.3">
      <c r="A4" t="s">
        <v>20</v>
      </c>
      <c r="B4" s="2">
        <v>45653</v>
      </c>
      <c r="C4" t="s">
        <v>10</v>
      </c>
      <c r="D4" t="s">
        <v>17</v>
      </c>
      <c r="E4" t="s">
        <v>21</v>
      </c>
      <c r="F4" t="s">
        <v>22</v>
      </c>
      <c r="G4" t="s">
        <v>23</v>
      </c>
      <c r="H4">
        <v>8</v>
      </c>
      <c r="I4" s="5">
        <v>99720</v>
      </c>
      <c r="K4" t="s">
        <v>53</v>
      </c>
      <c r="L4" s="8">
        <f>AVERAGEIF(D2:D101, K4, H2:H101)</f>
        <v>13.916666666666666</v>
      </c>
    </row>
    <row r="5" spans="1:12" x14ac:dyDescent="0.3">
      <c r="A5" t="s">
        <v>24</v>
      </c>
      <c r="B5" s="2">
        <v>45405</v>
      </c>
      <c r="C5" t="s">
        <v>10</v>
      </c>
      <c r="D5" t="s">
        <v>17</v>
      </c>
      <c r="E5" t="s">
        <v>21</v>
      </c>
      <c r="F5" t="s">
        <v>22</v>
      </c>
      <c r="G5" t="s">
        <v>25</v>
      </c>
      <c r="H5">
        <v>13</v>
      </c>
      <c r="I5" s="5">
        <v>80858</v>
      </c>
      <c r="K5" t="s">
        <v>17</v>
      </c>
      <c r="L5" s="8">
        <f t="shared" ref="L5:L7" si="0">AVERAGEIF(D3:D102, K5, H3:H102)</f>
        <v>15.766666666666667</v>
      </c>
    </row>
    <row r="6" spans="1:12" x14ac:dyDescent="0.3">
      <c r="A6" t="s">
        <v>26</v>
      </c>
      <c r="B6" s="2">
        <v>45348</v>
      </c>
      <c r="C6" t="s">
        <v>27</v>
      </c>
      <c r="D6" t="s">
        <v>17</v>
      </c>
      <c r="E6" t="s">
        <v>21</v>
      </c>
      <c r="F6" t="s">
        <v>19</v>
      </c>
      <c r="G6" t="s">
        <v>23</v>
      </c>
      <c r="H6">
        <v>26</v>
      </c>
      <c r="I6" s="5">
        <v>14076</v>
      </c>
      <c r="K6" t="s">
        <v>11</v>
      </c>
      <c r="L6" s="8">
        <f t="shared" si="0"/>
        <v>15.975</v>
      </c>
    </row>
    <row r="7" spans="1:12" x14ac:dyDescent="0.3">
      <c r="A7" t="s">
        <v>28</v>
      </c>
      <c r="B7" s="2">
        <v>45321</v>
      </c>
      <c r="C7" t="s">
        <v>27</v>
      </c>
      <c r="D7" t="s">
        <v>29</v>
      </c>
      <c r="E7" t="s">
        <v>21</v>
      </c>
      <c r="F7" t="s">
        <v>13</v>
      </c>
      <c r="G7" t="s">
        <v>25</v>
      </c>
      <c r="H7">
        <v>27</v>
      </c>
      <c r="I7" s="5">
        <v>67086</v>
      </c>
      <c r="K7" t="s">
        <v>29</v>
      </c>
      <c r="L7" s="8">
        <f t="shared" si="0"/>
        <v>13.294117647058824</v>
      </c>
    </row>
    <row r="8" spans="1:12" x14ac:dyDescent="0.3">
      <c r="A8" t="s">
        <v>30</v>
      </c>
      <c r="B8" s="2">
        <v>45430</v>
      </c>
      <c r="C8" t="s">
        <v>31</v>
      </c>
      <c r="D8" t="s">
        <v>17</v>
      </c>
      <c r="E8" t="s">
        <v>21</v>
      </c>
      <c r="F8" t="s">
        <v>19</v>
      </c>
      <c r="G8" t="s">
        <v>25</v>
      </c>
      <c r="H8">
        <v>23</v>
      </c>
      <c r="I8" s="5">
        <v>41743</v>
      </c>
    </row>
    <row r="9" spans="1:12" x14ac:dyDescent="0.3">
      <c r="A9" t="s">
        <v>32</v>
      </c>
      <c r="B9" s="2">
        <v>45342</v>
      </c>
      <c r="C9" t="s">
        <v>33</v>
      </c>
      <c r="D9" t="s">
        <v>29</v>
      </c>
      <c r="E9" t="s">
        <v>21</v>
      </c>
      <c r="F9" t="s">
        <v>22</v>
      </c>
      <c r="G9" t="s">
        <v>14</v>
      </c>
      <c r="H9">
        <v>13</v>
      </c>
      <c r="I9" s="5">
        <v>64337</v>
      </c>
    </row>
    <row r="10" spans="1:12" x14ac:dyDescent="0.3">
      <c r="A10" t="s">
        <v>34</v>
      </c>
      <c r="B10" s="2">
        <v>45558</v>
      </c>
      <c r="C10" t="s">
        <v>27</v>
      </c>
      <c r="D10" t="s">
        <v>11</v>
      </c>
      <c r="E10" t="s">
        <v>35</v>
      </c>
      <c r="F10" t="s">
        <v>22</v>
      </c>
      <c r="G10" t="s">
        <v>14</v>
      </c>
      <c r="H10">
        <v>10</v>
      </c>
      <c r="I10" s="5">
        <v>96050</v>
      </c>
    </row>
    <row r="11" spans="1:12" x14ac:dyDescent="0.3">
      <c r="A11" t="s">
        <v>36</v>
      </c>
      <c r="B11" s="2">
        <v>45310</v>
      </c>
      <c r="C11" t="s">
        <v>31</v>
      </c>
      <c r="D11" t="s">
        <v>17</v>
      </c>
      <c r="E11" t="s">
        <v>12</v>
      </c>
      <c r="F11" t="s">
        <v>19</v>
      </c>
      <c r="G11" t="s">
        <v>14</v>
      </c>
      <c r="H11">
        <v>12</v>
      </c>
      <c r="I11" s="5">
        <v>24146</v>
      </c>
    </row>
    <row r="12" spans="1:12" x14ac:dyDescent="0.3">
      <c r="A12" t="s">
        <v>37</v>
      </c>
      <c r="B12" s="2">
        <v>45649</v>
      </c>
      <c r="C12" t="s">
        <v>38</v>
      </c>
      <c r="D12" t="s">
        <v>17</v>
      </c>
      <c r="E12" t="s">
        <v>21</v>
      </c>
      <c r="F12" t="s">
        <v>19</v>
      </c>
      <c r="G12" t="s">
        <v>25</v>
      </c>
      <c r="H12">
        <v>21</v>
      </c>
      <c r="I12" s="5">
        <v>95926</v>
      </c>
    </row>
    <row r="13" spans="1:12" x14ac:dyDescent="0.3">
      <c r="A13" t="s">
        <v>39</v>
      </c>
      <c r="B13" s="2">
        <v>45300</v>
      </c>
      <c r="C13" t="s">
        <v>38</v>
      </c>
      <c r="D13" t="s">
        <v>11</v>
      </c>
      <c r="E13" t="s">
        <v>21</v>
      </c>
      <c r="F13" t="s">
        <v>40</v>
      </c>
      <c r="G13" t="s">
        <v>25</v>
      </c>
      <c r="H13">
        <v>17</v>
      </c>
      <c r="I13" s="5">
        <v>3268</v>
      </c>
    </row>
    <row r="14" spans="1:12" x14ac:dyDescent="0.3">
      <c r="A14" t="s">
        <v>41</v>
      </c>
      <c r="B14" s="2">
        <v>45323</v>
      </c>
      <c r="C14" t="s">
        <v>10</v>
      </c>
      <c r="D14" t="s">
        <v>11</v>
      </c>
      <c r="E14" t="s">
        <v>21</v>
      </c>
      <c r="F14" t="s">
        <v>42</v>
      </c>
      <c r="G14" t="s">
        <v>14</v>
      </c>
      <c r="H14">
        <v>18</v>
      </c>
      <c r="I14" s="5">
        <v>6733</v>
      </c>
    </row>
    <row r="15" spans="1:12" x14ac:dyDescent="0.3">
      <c r="A15" t="s">
        <v>43</v>
      </c>
      <c r="B15" s="2">
        <v>45554</v>
      </c>
      <c r="C15" t="s">
        <v>33</v>
      </c>
      <c r="D15" t="s">
        <v>11</v>
      </c>
      <c r="E15" t="s">
        <v>12</v>
      </c>
      <c r="F15" t="s">
        <v>40</v>
      </c>
      <c r="G15" t="s">
        <v>25</v>
      </c>
      <c r="H15">
        <v>25</v>
      </c>
      <c r="I15" s="5">
        <v>96403</v>
      </c>
    </row>
    <row r="16" spans="1:12" x14ac:dyDescent="0.3">
      <c r="A16" t="s">
        <v>44</v>
      </c>
      <c r="B16" s="2">
        <v>45344</v>
      </c>
      <c r="C16" t="s">
        <v>38</v>
      </c>
      <c r="D16" t="s">
        <v>11</v>
      </c>
      <c r="E16" t="s">
        <v>21</v>
      </c>
      <c r="F16" t="s">
        <v>40</v>
      </c>
      <c r="G16" t="s">
        <v>23</v>
      </c>
      <c r="H16">
        <v>15</v>
      </c>
      <c r="I16" s="5">
        <v>19903</v>
      </c>
    </row>
    <row r="17" spans="1:9" x14ac:dyDescent="0.3">
      <c r="A17" t="s">
        <v>45</v>
      </c>
      <c r="B17" s="2">
        <v>45508</v>
      </c>
      <c r="C17" t="s">
        <v>31</v>
      </c>
      <c r="D17" t="s">
        <v>11</v>
      </c>
      <c r="E17" t="s">
        <v>21</v>
      </c>
      <c r="F17" t="s">
        <v>19</v>
      </c>
      <c r="G17" t="s">
        <v>25</v>
      </c>
      <c r="H17">
        <v>5</v>
      </c>
      <c r="I17" s="5">
        <v>1306</v>
      </c>
    </row>
    <row r="18" spans="1:9" x14ac:dyDescent="0.3">
      <c r="A18" t="s">
        <v>46</v>
      </c>
      <c r="B18" s="2">
        <v>45297</v>
      </c>
      <c r="C18" t="s">
        <v>33</v>
      </c>
      <c r="D18" t="s">
        <v>29</v>
      </c>
      <c r="E18" t="s">
        <v>21</v>
      </c>
      <c r="F18" t="s">
        <v>22</v>
      </c>
      <c r="G18" t="s">
        <v>23</v>
      </c>
      <c r="H18">
        <v>14</v>
      </c>
      <c r="I18" s="5">
        <v>25220</v>
      </c>
    </row>
    <row r="19" spans="1:9" x14ac:dyDescent="0.3">
      <c r="A19" t="s">
        <v>47</v>
      </c>
      <c r="B19" s="2">
        <v>45505</v>
      </c>
      <c r="C19" t="s">
        <v>10</v>
      </c>
      <c r="D19" t="s">
        <v>11</v>
      </c>
      <c r="E19" t="s">
        <v>21</v>
      </c>
      <c r="F19" t="s">
        <v>22</v>
      </c>
      <c r="G19" t="s">
        <v>48</v>
      </c>
      <c r="H19">
        <v>14</v>
      </c>
      <c r="I19" s="5">
        <v>89091</v>
      </c>
    </row>
    <row r="20" spans="1:9" x14ac:dyDescent="0.3">
      <c r="A20" t="s">
        <v>49</v>
      </c>
      <c r="B20" s="2">
        <v>45362</v>
      </c>
      <c r="C20" t="s">
        <v>33</v>
      </c>
      <c r="D20" t="s">
        <v>29</v>
      </c>
      <c r="E20" t="s">
        <v>21</v>
      </c>
      <c r="F20" t="s">
        <v>13</v>
      </c>
      <c r="G20" t="s">
        <v>25</v>
      </c>
      <c r="H20">
        <v>13</v>
      </c>
      <c r="I20" s="5">
        <v>4320</v>
      </c>
    </row>
    <row r="21" spans="1:9" x14ac:dyDescent="0.3">
      <c r="A21" t="s">
        <v>50</v>
      </c>
      <c r="B21" s="2">
        <v>45609</v>
      </c>
      <c r="C21" t="s">
        <v>10</v>
      </c>
      <c r="D21" t="s">
        <v>11</v>
      </c>
      <c r="E21" t="s">
        <v>21</v>
      </c>
      <c r="F21" t="s">
        <v>22</v>
      </c>
      <c r="G21" t="s">
        <v>23</v>
      </c>
      <c r="H21">
        <v>29</v>
      </c>
      <c r="I21" s="5">
        <v>36084</v>
      </c>
    </row>
    <row r="22" spans="1:9" x14ac:dyDescent="0.3">
      <c r="A22" t="s">
        <v>51</v>
      </c>
      <c r="B22" s="2">
        <v>45442</v>
      </c>
      <c r="C22" t="s">
        <v>10</v>
      </c>
      <c r="D22" t="s">
        <v>11</v>
      </c>
      <c r="E22" t="s">
        <v>21</v>
      </c>
      <c r="F22" t="s">
        <v>19</v>
      </c>
      <c r="G22" t="s">
        <v>14</v>
      </c>
      <c r="H22">
        <v>19</v>
      </c>
      <c r="I22" s="5">
        <v>68931</v>
      </c>
    </row>
    <row r="23" spans="1:9" x14ac:dyDescent="0.3">
      <c r="A23" t="s">
        <v>52</v>
      </c>
      <c r="B23" s="2">
        <v>45625</v>
      </c>
      <c r="C23" t="s">
        <v>33</v>
      </c>
      <c r="D23" t="s">
        <v>53</v>
      </c>
      <c r="E23" t="s">
        <v>21</v>
      </c>
      <c r="F23" t="s">
        <v>19</v>
      </c>
      <c r="G23" t="s">
        <v>25</v>
      </c>
      <c r="H23">
        <v>19</v>
      </c>
      <c r="I23" s="5">
        <v>8981</v>
      </c>
    </row>
    <row r="24" spans="1:9" x14ac:dyDescent="0.3">
      <c r="A24" t="s">
        <v>54</v>
      </c>
      <c r="B24" s="2">
        <v>45404</v>
      </c>
      <c r="C24" t="s">
        <v>10</v>
      </c>
      <c r="D24" t="s">
        <v>11</v>
      </c>
      <c r="E24" t="s">
        <v>21</v>
      </c>
      <c r="F24" t="s">
        <v>13</v>
      </c>
      <c r="G24" t="s">
        <v>25</v>
      </c>
      <c r="H24">
        <v>27</v>
      </c>
      <c r="I24" s="5">
        <v>28208</v>
      </c>
    </row>
    <row r="25" spans="1:9" x14ac:dyDescent="0.3">
      <c r="A25" t="s">
        <v>55</v>
      </c>
      <c r="B25" s="2">
        <v>45430</v>
      </c>
      <c r="C25" t="s">
        <v>38</v>
      </c>
      <c r="D25" t="s">
        <v>17</v>
      </c>
      <c r="E25" t="s">
        <v>21</v>
      </c>
      <c r="F25" t="s">
        <v>42</v>
      </c>
      <c r="G25" t="s">
        <v>23</v>
      </c>
      <c r="H25">
        <v>14</v>
      </c>
      <c r="I25" s="5">
        <v>70742</v>
      </c>
    </row>
    <row r="26" spans="1:9" x14ac:dyDescent="0.3">
      <c r="A26" t="s">
        <v>56</v>
      </c>
      <c r="B26" s="2">
        <v>45599</v>
      </c>
      <c r="C26" t="s">
        <v>38</v>
      </c>
      <c r="D26" t="s">
        <v>29</v>
      </c>
      <c r="E26" t="s">
        <v>21</v>
      </c>
      <c r="F26" t="s">
        <v>19</v>
      </c>
      <c r="G26" t="s">
        <v>14</v>
      </c>
      <c r="H26">
        <v>4</v>
      </c>
      <c r="I26" s="5">
        <v>28666</v>
      </c>
    </row>
    <row r="27" spans="1:9" x14ac:dyDescent="0.3">
      <c r="A27" t="s">
        <v>57</v>
      </c>
      <c r="B27" s="2">
        <v>45619</v>
      </c>
      <c r="C27" t="s">
        <v>27</v>
      </c>
      <c r="D27" t="s">
        <v>11</v>
      </c>
      <c r="E27" t="s">
        <v>18</v>
      </c>
      <c r="F27" t="s">
        <v>42</v>
      </c>
      <c r="G27" t="s">
        <v>25</v>
      </c>
      <c r="H27">
        <v>12</v>
      </c>
      <c r="I27" s="5">
        <v>41949</v>
      </c>
    </row>
    <row r="28" spans="1:9" x14ac:dyDescent="0.3">
      <c r="A28" t="s">
        <v>58</v>
      </c>
      <c r="B28" s="2">
        <v>45637</v>
      </c>
      <c r="C28" t="s">
        <v>33</v>
      </c>
      <c r="D28" t="s">
        <v>17</v>
      </c>
      <c r="E28" t="s">
        <v>21</v>
      </c>
      <c r="F28" t="s">
        <v>22</v>
      </c>
      <c r="G28" t="s">
        <v>23</v>
      </c>
      <c r="H28">
        <v>14</v>
      </c>
      <c r="I28" s="5">
        <v>63872</v>
      </c>
    </row>
    <row r="29" spans="1:9" x14ac:dyDescent="0.3">
      <c r="A29" t="s">
        <v>59</v>
      </c>
      <c r="B29" s="2">
        <v>45605</v>
      </c>
      <c r="C29" t="s">
        <v>38</v>
      </c>
      <c r="D29" t="s">
        <v>11</v>
      </c>
      <c r="E29" t="s">
        <v>12</v>
      </c>
      <c r="F29" t="s">
        <v>40</v>
      </c>
      <c r="G29" t="s">
        <v>48</v>
      </c>
      <c r="H29">
        <v>14</v>
      </c>
      <c r="I29" s="5">
        <v>56187</v>
      </c>
    </row>
    <row r="30" spans="1:9" x14ac:dyDescent="0.3">
      <c r="A30" t="s">
        <v>60</v>
      </c>
      <c r="B30" s="2">
        <v>45405</v>
      </c>
      <c r="C30" t="s">
        <v>16</v>
      </c>
      <c r="D30" t="s">
        <v>11</v>
      </c>
      <c r="E30" t="s">
        <v>21</v>
      </c>
      <c r="F30" t="s">
        <v>19</v>
      </c>
      <c r="G30" t="s">
        <v>23</v>
      </c>
      <c r="H30">
        <v>18</v>
      </c>
      <c r="I30" s="5">
        <v>84106</v>
      </c>
    </row>
    <row r="31" spans="1:9" x14ac:dyDescent="0.3">
      <c r="A31" t="s">
        <v>61</v>
      </c>
      <c r="B31" s="2">
        <v>45645</v>
      </c>
      <c r="C31" t="s">
        <v>27</v>
      </c>
      <c r="D31" t="s">
        <v>17</v>
      </c>
      <c r="E31" t="s">
        <v>35</v>
      </c>
      <c r="F31" t="s">
        <v>22</v>
      </c>
      <c r="G31" t="s">
        <v>25</v>
      </c>
      <c r="H31">
        <v>15</v>
      </c>
      <c r="I31" s="5">
        <v>11425</v>
      </c>
    </row>
    <row r="32" spans="1:9" x14ac:dyDescent="0.3">
      <c r="A32" t="s">
        <v>62</v>
      </c>
      <c r="B32" s="2">
        <v>45575</v>
      </c>
      <c r="C32" t="s">
        <v>10</v>
      </c>
      <c r="D32" t="s">
        <v>11</v>
      </c>
      <c r="E32" t="s">
        <v>21</v>
      </c>
      <c r="F32" t="s">
        <v>42</v>
      </c>
      <c r="G32" t="s">
        <v>48</v>
      </c>
      <c r="H32">
        <v>5</v>
      </c>
      <c r="I32" s="5">
        <v>97966</v>
      </c>
    </row>
    <row r="33" spans="1:9" x14ac:dyDescent="0.3">
      <c r="A33" t="s">
        <v>63</v>
      </c>
      <c r="B33" s="2">
        <v>45606</v>
      </c>
      <c r="C33" t="s">
        <v>33</v>
      </c>
      <c r="D33" t="s">
        <v>17</v>
      </c>
      <c r="E33" t="s">
        <v>35</v>
      </c>
      <c r="F33" t="s">
        <v>19</v>
      </c>
      <c r="G33" t="s">
        <v>14</v>
      </c>
      <c r="H33">
        <v>25</v>
      </c>
      <c r="I33" s="5">
        <v>54092</v>
      </c>
    </row>
    <row r="34" spans="1:9" x14ac:dyDescent="0.3">
      <c r="A34" t="s">
        <v>64</v>
      </c>
      <c r="B34" s="2">
        <v>45490</v>
      </c>
      <c r="C34" t="s">
        <v>27</v>
      </c>
      <c r="D34" t="s">
        <v>29</v>
      </c>
      <c r="E34" t="s">
        <v>21</v>
      </c>
      <c r="F34" t="s">
        <v>40</v>
      </c>
      <c r="G34" t="s">
        <v>14</v>
      </c>
      <c r="H34">
        <v>5</v>
      </c>
      <c r="I34" s="5">
        <v>80421</v>
      </c>
    </row>
    <row r="35" spans="1:9" x14ac:dyDescent="0.3">
      <c r="A35" t="s">
        <v>65</v>
      </c>
      <c r="B35" s="2">
        <v>45615</v>
      </c>
      <c r="C35" t="s">
        <v>27</v>
      </c>
      <c r="D35" t="s">
        <v>11</v>
      </c>
      <c r="E35" t="s">
        <v>21</v>
      </c>
      <c r="F35" t="s">
        <v>42</v>
      </c>
      <c r="G35" t="s">
        <v>14</v>
      </c>
      <c r="H35">
        <v>14</v>
      </c>
      <c r="I35" s="5">
        <v>62803</v>
      </c>
    </row>
    <row r="36" spans="1:9" x14ac:dyDescent="0.3">
      <c r="A36" t="s">
        <v>66</v>
      </c>
      <c r="B36" s="2">
        <v>45394</v>
      </c>
      <c r="C36" t="s">
        <v>38</v>
      </c>
      <c r="D36" t="s">
        <v>53</v>
      </c>
      <c r="E36" t="s">
        <v>21</v>
      </c>
      <c r="F36" t="s">
        <v>22</v>
      </c>
      <c r="G36" t="s">
        <v>48</v>
      </c>
      <c r="H36">
        <v>14</v>
      </c>
      <c r="I36" s="5">
        <v>55150</v>
      </c>
    </row>
    <row r="37" spans="1:9" x14ac:dyDescent="0.3">
      <c r="A37" t="s">
        <v>67</v>
      </c>
      <c r="B37" s="2">
        <v>45495</v>
      </c>
      <c r="C37" t="s">
        <v>33</v>
      </c>
      <c r="D37" t="s">
        <v>11</v>
      </c>
      <c r="E37" t="s">
        <v>35</v>
      </c>
      <c r="F37" t="s">
        <v>13</v>
      </c>
      <c r="G37" t="s">
        <v>23</v>
      </c>
      <c r="H37">
        <v>5</v>
      </c>
      <c r="I37" s="5">
        <v>12951</v>
      </c>
    </row>
    <row r="38" spans="1:9" x14ac:dyDescent="0.3">
      <c r="A38" t="s">
        <v>68</v>
      </c>
      <c r="B38" s="2">
        <v>45345</v>
      </c>
      <c r="C38" t="s">
        <v>31</v>
      </c>
      <c r="D38" t="s">
        <v>17</v>
      </c>
      <c r="E38" t="s">
        <v>21</v>
      </c>
      <c r="F38" t="s">
        <v>40</v>
      </c>
      <c r="G38" t="s">
        <v>23</v>
      </c>
      <c r="H38">
        <v>17</v>
      </c>
      <c r="I38" s="5">
        <v>32741</v>
      </c>
    </row>
    <row r="39" spans="1:9" x14ac:dyDescent="0.3">
      <c r="A39" t="s">
        <v>69</v>
      </c>
      <c r="B39" s="2">
        <v>45617</v>
      </c>
      <c r="C39" t="s">
        <v>27</v>
      </c>
      <c r="D39" t="s">
        <v>29</v>
      </c>
      <c r="E39" t="s">
        <v>18</v>
      </c>
      <c r="F39" t="s">
        <v>42</v>
      </c>
      <c r="G39" t="s">
        <v>14</v>
      </c>
      <c r="H39">
        <v>1</v>
      </c>
      <c r="I39" s="5">
        <v>40909</v>
      </c>
    </row>
    <row r="40" spans="1:9" x14ac:dyDescent="0.3">
      <c r="A40" t="s">
        <v>70</v>
      </c>
      <c r="B40" s="2">
        <v>45511</v>
      </c>
      <c r="C40" t="s">
        <v>38</v>
      </c>
      <c r="D40" t="s">
        <v>11</v>
      </c>
      <c r="E40" t="s">
        <v>12</v>
      </c>
      <c r="F40" t="s">
        <v>19</v>
      </c>
      <c r="G40" t="s">
        <v>48</v>
      </c>
      <c r="H40">
        <v>15</v>
      </c>
      <c r="I40" s="5">
        <v>89203</v>
      </c>
    </row>
    <row r="41" spans="1:9" x14ac:dyDescent="0.3">
      <c r="A41" t="s">
        <v>71</v>
      </c>
      <c r="B41" s="2">
        <v>45562</v>
      </c>
      <c r="C41" t="s">
        <v>10</v>
      </c>
      <c r="D41" t="s">
        <v>11</v>
      </c>
      <c r="E41" t="s">
        <v>35</v>
      </c>
      <c r="F41" t="s">
        <v>19</v>
      </c>
      <c r="G41" t="s">
        <v>23</v>
      </c>
      <c r="H41">
        <v>20</v>
      </c>
      <c r="I41" s="5">
        <v>51653</v>
      </c>
    </row>
    <row r="42" spans="1:9" x14ac:dyDescent="0.3">
      <c r="A42" t="s">
        <v>72</v>
      </c>
      <c r="B42" s="2">
        <v>45452</v>
      </c>
      <c r="C42" t="s">
        <v>31</v>
      </c>
      <c r="D42" t="s">
        <v>29</v>
      </c>
      <c r="E42" t="s">
        <v>35</v>
      </c>
      <c r="F42" t="s">
        <v>22</v>
      </c>
      <c r="G42" t="s">
        <v>48</v>
      </c>
      <c r="H42">
        <v>2</v>
      </c>
      <c r="I42" s="5">
        <v>60572</v>
      </c>
    </row>
    <row r="43" spans="1:9" x14ac:dyDescent="0.3">
      <c r="A43" t="s">
        <v>73</v>
      </c>
      <c r="B43" s="2">
        <v>45297</v>
      </c>
      <c r="C43" t="s">
        <v>33</v>
      </c>
      <c r="D43" t="s">
        <v>29</v>
      </c>
      <c r="E43" t="s">
        <v>18</v>
      </c>
      <c r="F43" t="s">
        <v>13</v>
      </c>
      <c r="G43" t="s">
        <v>23</v>
      </c>
      <c r="H43">
        <v>17</v>
      </c>
      <c r="I43" s="5">
        <v>62421</v>
      </c>
    </row>
    <row r="44" spans="1:9" x14ac:dyDescent="0.3">
      <c r="A44" t="s">
        <v>74</v>
      </c>
      <c r="B44" s="2">
        <v>45514</v>
      </c>
      <c r="C44" t="s">
        <v>33</v>
      </c>
      <c r="D44" t="s">
        <v>17</v>
      </c>
      <c r="E44" t="s">
        <v>12</v>
      </c>
      <c r="F44" t="s">
        <v>40</v>
      </c>
      <c r="G44" t="s">
        <v>48</v>
      </c>
      <c r="H44">
        <v>21</v>
      </c>
      <c r="I44" s="5">
        <v>31592</v>
      </c>
    </row>
    <row r="45" spans="1:9" x14ac:dyDescent="0.3">
      <c r="A45" t="s">
        <v>75</v>
      </c>
      <c r="B45" s="2">
        <v>45531</v>
      </c>
      <c r="C45" t="s">
        <v>38</v>
      </c>
      <c r="D45" t="s">
        <v>11</v>
      </c>
      <c r="E45" t="s">
        <v>12</v>
      </c>
      <c r="F45" t="s">
        <v>19</v>
      </c>
      <c r="G45" t="s">
        <v>14</v>
      </c>
      <c r="H45">
        <v>1</v>
      </c>
      <c r="I45" s="5">
        <v>19160</v>
      </c>
    </row>
    <row r="46" spans="1:9" x14ac:dyDescent="0.3">
      <c r="A46" t="s">
        <v>76</v>
      </c>
      <c r="B46" s="2">
        <v>45355</v>
      </c>
      <c r="C46" t="s">
        <v>31</v>
      </c>
      <c r="D46" t="s">
        <v>11</v>
      </c>
      <c r="E46" t="s">
        <v>21</v>
      </c>
      <c r="F46" t="s">
        <v>42</v>
      </c>
      <c r="G46" t="s">
        <v>25</v>
      </c>
      <c r="H46">
        <v>13</v>
      </c>
      <c r="I46" s="5">
        <v>63791</v>
      </c>
    </row>
    <row r="47" spans="1:9" x14ac:dyDescent="0.3">
      <c r="A47" t="s">
        <v>77</v>
      </c>
      <c r="B47" s="2">
        <v>45438</v>
      </c>
      <c r="C47" t="s">
        <v>10</v>
      </c>
      <c r="D47" t="s">
        <v>17</v>
      </c>
      <c r="E47" t="s">
        <v>21</v>
      </c>
      <c r="F47" t="s">
        <v>13</v>
      </c>
      <c r="G47" t="s">
        <v>25</v>
      </c>
      <c r="H47">
        <v>10</v>
      </c>
      <c r="I47" s="5">
        <v>38906</v>
      </c>
    </row>
    <row r="48" spans="1:9" x14ac:dyDescent="0.3">
      <c r="A48" t="s">
        <v>78</v>
      </c>
      <c r="B48" s="2">
        <v>45555</v>
      </c>
      <c r="C48" t="s">
        <v>38</v>
      </c>
      <c r="D48" t="s">
        <v>17</v>
      </c>
      <c r="E48" t="s">
        <v>35</v>
      </c>
      <c r="F48" t="s">
        <v>22</v>
      </c>
      <c r="G48" t="s">
        <v>25</v>
      </c>
      <c r="H48">
        <v>22</v>
      </c>
      <c r="I48" s="5">
        <v>14241</v>
      </c>
    </row>
    <row r="49" spans="1:9" x14ac:dyDescent="0.3">
      <c r="A49" t="s">
        <v>79</v>
      </c>
      <c r="B49" s="2">
        <v>45358</v>
      </c>
      <c r="C49" t="s">
        <v>27</v>
      </c>
      <c r="D49" t="s">
        <v>17</v>
      </c>
      <c r="E49" t="s">
        <v>21</v>
      </c>
      <c r="F49" t="s">
        <v>19</v>
      </c>
      <c r="G49" t="s">
        <v>23</v>
      </c>
      <c r="H49">
        <v>11</v>
      </c>
      <c r="I49" s="5">
        <v>32259</v>
      </c>
    </row>
    <row r="50" spans="1:9" x14ac:dyDescent="0.3">
      <c r="A50" t="s">
        <v>80</v>
      </c>
      <c r="B50" s="2">
        <v>45426</v>
      </c>
      <c r="C50" t="s">
        <v>10</v>
      </c>
      <c r="D50" t="s">
        <v>11</v>
      </c>
      <c r="E50" t="s">
        <v>21</v>
      </c>
      <c r="F50" t="s">
        <v>40</v>
      </c>
      <c r="G50" t="s">
        <v>25</v>
      </c>
      <c r="H50">
        <v>26</v>
      </c>
      <c r="I50" s="5">
        <v>43535</v>
      </c>
    </row>
    <row r="51" spans="1:9" x14ac:dyDescent="0.3">
      <c r="A51" t="s">
        <v>81</v>
      </c>
      <c r="B51" s="2">
        <v>45650</v>
      </c>
      <c r="C51" t="s">
        <v>38</v>
      </c>
      <c r="D51" t="s">
        <v>11</v>
      </c>
      <c r="E51" t="s">
        <v>21</v>
      </c>
      <c r="F51" t="s">
        <v>42</v>
      </c>
      <c r="G51" t="s">
        <v>14</v>
      </c>
      <c r="H51">
        <v>6</v>
      </c>
      <c r="I51" s="5">
        <v>61363</v>
      </c>
    </row>
    <row r="52" spans="1:9" x14ac:dyDescent="0.3">
      <c r="A52" t="s">
        <v>82</v>
      </c>
      <c r="B52" s="2">
        <v>45502</v>
      </c>
      <c r="C52" t="s">
        <v>31</v>
      </c>
      <c r="D52" t="s">
        <v>17</v>
      </c>
      <c r="E52" t="s">
        <v>12</v>
      </c>
      <c r="F52" t="s">
        <v>13</v>
      </c>
      <c r="G52" t="s">
        <v>48</v>
      </c>
      <c r="H52">
        <v>13</v>
      </c>
      <c r="I52" s="5">
        <v>58037</v>
      </c>
    </row>
    <row r="53" spans="1:9" x14ac:dyDescent="0.3">
      <c r="A53" t="s">
        <v>83</v>
      </c>
      <c r="B53" s="2">
        <v>45555</v>
      </c>
      <c r="C53" t="s">
        <v>33</v>
      </c>
      <c r="D53" t="s">
        <v>11</v>
      </c>
      <c r="E53" t="s">
        <v>21</v>
      </c>
      <c r="F53" t="s">
        <v>13</v>
      </c>
      <c r="G53" t="s">
        <v>48</v>
      </c>
      <c r="H53">
        <v>24</v>
      </c>
      <c r="I53" s="5">
        <v>36925</v>
      </c>
    </row>
    <row r="54" spans="1:9" x14ac:dyDescent="0.3">
      <c r="A54" t="s">
        <v>84</v>
      </c>
      <c r="B54" s="2">
        <v>45442</v>
      </c>
      <c r="C54" t="s">
        <v>31</v>
      </c>
      <c r="D54" t="s">
        <v>17</v>
      </c>
      <c r="E54" t="s">
        <v>21</v>
      </c>
      <c r="F54" t="s">
        <v>40</v>
      </c>
      <c r="G54" t="s">
        <v>48</v>
      </c>
      <c r="H54">
        <v>16</v>
      </c>
      <c r="I54" s="5">
        <v>66518</v>
      </c>
    </row>
    <row r="55" spans="1:9" x14ac:dyDescent="0.3">
      <c r="A55" t="s">
        <v>85</v>
      </c>
      <c r="B55" s="2">
        <v>45349</v>
      </c>
      <c r="C55" t="s">
        <v>31</v>
      </c>
      <c r="D55" t="s">
        <v>29</v>
      </c>
      <c r="E55" t="s">
        <v>21</v>
      </c>
      <c r="F55" t="s">
        <v>19</v>
      </c>
      <c r="G55" t="s">
        <v>48</v>
      </c>
      <c r="H55">
        <v>8</v>
      </c>
      <c r="I55" s="5">
        <v>64723</v>
      </c>
    </row>
    <row r="56" spans="1:9" x14ac:dyDescent="0.3">
      <c r="A56" t="s">
        <v>86</v>
      </c>
      <c r="B56" s="2">
        <v>45479</v>
      </c>
      <c r="C56" t="s">
        <v>38</v>
      </c>
      <c r="D56" t="s">
        <v>11</v>
      </c>
      <c r="E56" t="s">
        <v>21</v>
      </c>
      <c r="F56" t="s">
        <v>22</v>
      </c>
      <c r="G56" t="s">
        <v>48</v>
      </c>
      <c r="H56">
        <v>29</v>
      </c>
      <c r="I56" s="5">
        <v>33107</v>
      </c>
    </row>
    <row r="57" spans="1:9" x14ac:dyDescent="0.3">
      <c r="A57" t="s">
        <v>87</v>
      </c>
      <c r="B57" s="2">
        <v>45503</v>
      </c>
      <c r="C57" t="s">
        <v>33</v>
      </c>
      <c r="D57" t="s">
        <v>11</v>
      </c>
      <c r="E57" t="s">
        <v>21</v>
      </c>
      <c r="F57" t="s">
        <v>13</v>
      </c>
      <c r="G57" t="s">
        <v>48</v>
      </c>
      <c r="H57">
        <v>10</v>
      </c>
      <c r="I57" s="5">
        <v>59794</v>
      </c>
    </row>
    <row r="58" spans="1:9" x14ac:dyDescent="0.3">
      <c r="A58" t="s">
        <v>88</v>
      </c>
      <c r="B58" s="2">
        <v>45513</v>
      </c>
      <c r="C58" t="s">
        <v>31</v>
      </c>
      <c r="D58" t="s">
        <v>29</v>
      </c>
      <c r="E58" t="s">
        <v>21</v>
      </c>
      <c r="F58" t="s">
        <v>40</v>
      </c>
      <c r="G58" t="s">
        <v>25</v>
      </c>
      <c r="H58">
        <v>14</v>
      </c>
      <c r="I58" s="5">
        <v>55551</v>
      </c>
    </row>
    <row r="59" spans="1:9" x14ac:dyDescent="0.3">
      <c r="A59" t="s">
        <v>89</v>
      </c>
      <c r="B59" s="2">
        <v>45641</v>
      </c>
      <c r="C59" t="s">
        <v>16</v>
      </c>
      <c r="D59" t="s">
        <v>17</v>
      </c>
      <c r="E59" t="s">
        <v>21</v>
      </c>
      <c r="F59" t="s">
        <v>40</v>
      </c>
      <c r="G59" t="s">
        <v>25</v>
      </c>
      <c r="H59">
        <v>21</v>
      </c>
      <c r="I59" s="5">
        <v>64205</v>
      </c>
    </row>
    <row r="60" spans="1:9" x14ac:dyDescent="0.3">
      <c r="A60" t="s">
        <v>90</v>
      </c>
      <c r="B60" s="2">
        <v>45307</v>
      </c>
      <c r="C60" t="s">
        <v>31</v>
      </c>
      <c r="D60" t="s">
        <v>53</v>
      </c>
      <c r="E60" t="s">
        <v>21</v>
      </c>
      <c r="F60" t="s">
        <v>13</v>
      </c>
      <c r="G60" t="s">
        <v>48</v>
      </c>
      <c r="H60">
        <v>27</v>
      </c>
      <c r="I60" s="5">
        <v>2841</v>
      </c>
    </row>
    <row r="61" spans="1:9" x14ac:dyDescent="0.3">
      <c r="A61" t="s">
        <v>91</v>
      </c>
      <c r="B61" s="2">
        <v>45638</v>
      </c>
      <c r="C61" t="s">
        <v>16</v>
      </c>
      <c r="D61" t="s">
        <v>53</v>
      </c>
      <c r="E61" t="s">
        <v>21</v>
      </c>
      <c r="F61" t="s">
        <v>40</v>
      </c>
      <c r="G61" t="s">
        <v>23</v>
      </c>
      <c r="H61">
        <v>24</v>
      </c>
      <c r="I61" s="5">
        <v>47804</v>
      </c>
    </row>
    <row r="62" spans="1:9" x14ac:dyDescent="0.3">
      <c r="A62" t="s">
        <v>92</v>
      </c>
      <c r="B62" s="2">
        <v>45403</v>
      </c>
      <c r="C62" t="s">
        <v>10</v>
      </c>
      <c r="D62" t="s">
        <v>11</v>
      </c>
      <c r="E62" t="s">
        <v>12</v>
      </c>
      <c r="F62" t="s">
        <v>40</v>
      </c>
      <c r="G62" t="s">
        <v>23</v>
      </c>
      <c r="H62">
        <v>13</v>
      </c>
      <c r="I62" s="5">
        <v>73853</v>
      </c>
    </row>
    <row r="63" spans="1:9" x14ac:dyDescent="0.3">
      <c r="A63" t="s">
        <v>93</v>
      </c>
      <c r="B63" s="2">
        <v>45500</v>
      </c>
      <c r="C63" t="s">
        <v>38</v>
      </c>
      <c r="D63" t="s">
        <v>17</v>
      </c>
      <c r="E63" t="s">
        <v>21</v>
      </c>
      <c r="F63" t="s">
        <v>40</v>
      </c>
      <c r="G63" t="s">
        <v>14</v>
      </c>
      <c r="H63">
        <v>7</v>
      </c>
      <c r="I63" s="5">
        <v>89412</v>
      </c>
    </row>
    <row r="64" spans="1:9" x14ac:dyDescent="0.3">
      <c r="A64" t="s">
        <v>94</v>
      </c>
      <c r="B64" s="2">
        <v>45362</v>
      </c>
      <c r="C64" t="s">
        <v>33</v>
      </c>
      <c r="D64" t="s">
        <v>17</v>
      </c>
      <c r="E64" t="s">
        <v>35</v>
      </c>
      <c r="F64" t="s">
        <v>13</v>
      </c>
      <c r="G64" t="s">
        <v>25</v>
      </c>
      <c r="H64">
        <v>3</v>
      </c>
      <c r="I64" s="5">
        <v>87564</v>
      </c>
    </row>
    <row r="65" spans="1:9" x14ac:dyDescent="0.3">
      <c r="A65" t="s">
        <v>95</v>
      </c>
      <c r="B65" s="2">
        <v>45387</v>
      </c>
      <c r="C65" t="s">
        <v>27</v>
      </c>
      <c r="D65" t="s">
        <v>11</v>
      </c>
      <c r="E65" t="s">
        <v>35</v>
      </c>
      <c r="F65" t="s">
        <v>19</v>
      </c>
      <c r="G65" t="s">
        <v>14</v>
      </c>
      <c r="H65">
        <v>28</v>
      </c>
      <c r="I65" s="5">
        <v>60687</v>
      </c>
    </row>
    <row r="66" spans="1:9" x14ac:dyDescent="0.3">
      <c r="A66" t="s">
        <v>96</v>
      </c>
      <c r="B66" s="2">
        <v>45584</v>
      </c>
      <c r="C66" t="s">
        <v>33</v>
      </c>
      <c r="D66" t="s">
        <v>53</v>
      </c>
      <c r="E66" t="s">
        <v>21</v>
      </c>
      <c r="F66" t="s">
        <v>19</v>
      </c>
      <c r="G66" t="s">
        <v>14</v>
      </c>
      <c r="H66">
        <v>1</v>
      </c>
      <c r="I66" s="5">
        <v>74698</v>
      </c>
    </row>
    <row r="67" spans="1:9" x14ac:dyDescent="0.3">
      <c r="A67" t="s">
        <v>97</v>
      </c>
      <c r="B67" s="2">
        <v>45575</v>
      </c>
      <c r="C67" t="s">
        <v>31</v>
      </c>
      <c r="D67" t="s">
        <v>17</v>
      </c>
      <c r="E67" t="s">
        <v>21</v>
      </c>
      <c r="F67" t="s">
        <v>42</v>
      </c>
      <c r="G67" t="s">
        <v>23</v>
      </c>
      <c r="H67">
        <v>1</v>
      </c>
      <c r="I67" s="5">
        <v>29064</v>
      </c>
    </row>
    <row r="68" spans="1:9" x14ac:dyDescent="0.3">
      <c r="A68" t="s">
        <v>98</v>
      </c>
      <c r="B68" s="2">
        <v>45602</v>
      </c>
      <c r="C68" t="s">
        <v>27</v>
      </c>
      <c r="D68" t="s">
        <v>17</v>
      </c>
      <c r="E68" t="s">
        <v>21</v>
      </c>
      <c r="F68" t="s">
        <v>40</v>
      </c>
      <c r="G68" t="s">
        <v>48</v>
      </c>
      <c r="H68">
        <v>14</v>
      </c>
      <c r="I68" s="5">
        <v>86825</v>
      </c>
    </row>
    <row r="69" spans="1:9" x14ac:dyDescent="0.3">
      <c r="A69" t="s">
        <v>99</v>
      </c>
      <c r="B69" s="2">
        <v>45634</v>
      </c>
      <c r="C69" t="s">
        <v>33</v>
      </c>
      <c r="D69" t="s">
        <v>11</v>
      </c>
      <c r="E69" t="s">
        <v>21</v>
      </c>
      <c r="F69" t="s">
        <v>13</v>
      </c>
      <c r="G69" t="s">
        <v>14</v>
      </c>
      <c r="H69">
        <v>19</v>
      </c>
      <c r="I69" s="5">
        <v>97273</v>
      </c>
    </row>
    <row r="70" spans="1:9" x14ac:dyDescent="0.3">
      <c r="A70" t="s">
        <v>100</v>
      </c>
      <c r="B70" s="2">
        <v>45508</v>
      </c>
      <c r="C70" t="s">
        <v>33</v>
      </c>
      <c r="D70" t="s">
        <v>11</v>
      </c>
      <c r="E70" t="s">
        <v>35</v>
      </c>
      <c r="F70" t="s">
        <v>42</v>
      </c>
      <c r="G70" t="s">
        <v>14</v>
      </c>
      <c r="H70">
        <v>24</v>
      </c>
      <c r="I70" s="5">
        <v>56386</v>
      </c>
    </row>
    <row r="71" spans="1:9" x14ac:dyDescent="0.3">
      <c r="A71" t="s">
        <v>101</v>
      </c>
      <c r="B71" s="2">
        <v>45455</v>
      </c>
      <c r="C71" t="s">
        <v>10</v>
      </c>
      <c r="D71" t="s">
        <v>17</v>
      </c>
      <c r="E71" t="s">
        <v>12</v>
      </c>
      <c r="F71" t="s">
        <v>19</v>
      </c>
      <c r="G71" t="s">
        <v>14</v>
      </c>
      <c r="H71">
        <v>24</v>
      </c>
      <c r="I71" s="5">
        <v>28873</v>
      </c>
    </row>
    <row r="72" spans="1:9" x14ac:dyDescent="0.3">
      <c r="A72" t="s">
        <v>102</v>
      </c>
      <c r="B72" s="2">
        <v>45655</v>
      </c>
      <c r="C72" t="s">
        <v>27</v>
      </c>
      <c r="D72" t="s">
        <v>29</v>
      </c>
      <c r="E72" t="s">
        <v>18</v>
      </c>
      <c r="F72" t="s">
        <v>19</v>
      </c>
      <c r="G72" t="s">
        <v>23</v>
      </c>
      <c r="H72">
        <v>11</v>
      </c>
      <c r="I72" s="5">
        <v>19360</v>
      </c>
    </row>
    <row r="73" spans="1:9" x14ac:dyDescent="0.3">
      <c r="A73" t="s">
        <v>103</v>
      </c>
      <c r="B73" s="2">
        <v>45563</v>
      </c>
      <c r="C73" t="s">
        <v>10</v>
      </c>
      <c r="D73" t="s">
        <v>11</v>
      </c>
      <c r="E73" t="s">
        <v>35</v>
      </c>
      <c r="F73" t="s">
        <v>40</v>
      </c>
      <c r="G73" t="s">
        <v>23</v>
      </c>
      <c r="H73">
        <v>26</v>
      </c>
      <c r="I73" s="5">
        <v>72918</v>
      </c>
    </row>
    <row r="74" spans="1:9" x14ac:dyDescent="0.3">
      <c r="A74" t="s">
        <v>104</v>
      </c>
      <c r="B74" s="2">
        <v>45631</v>
      </c>
      <c r="C74" t="s">
        <v>31</v>
      </c>
      <c r="D74" t="s">
        <v>53</v>
      </c>
      <c r="E74" t="s">
        <v>21</v>
      </c>
      <c r="F74" t="s">
        <v>40</v>
      </c>
      <c r="G74" t="s">
        <v>14</v>
      </c>
      <c r="H74">
        <v>2</v>
      </c>
      <c r="I74" s="5">
        <v>79748</v>
      </c>
    </row>
    <row r="75" spans="1:9" x14ac:dyDescent="0.3">
      <c r="A75" t="s">
        <v>105</v>
      </c>
      <c r="B75" s="2">
        <v>45493</v>
      </c>
      <c r="C75" t="s">
        <v>16</v>
      </c>
      <c r="D75" t="s">
        <v>11</v>
      </c>
      <c r="E75" t="s">
        <v>18</v>
      </c>
      <c r="F75" t="s">
        <v>42</v>
      </c>
      <c r="G75" t="s">
        <v>48</v>
      </c>
      <c r="H75">
        <v>16</v>
      </c>
      <c r="I75" s="5">
        <v>79882</v>
      </c>
    </row>
    <row r="76" spans="1:9" x14ac:dyDescent="0.3">
      <c r="A76" t="s">
        <v>106</v>
      </c>
      <c r="B76" s="2">
        <v>45563</v>
      </c>
      <c r="C76" t="s">
        <v>27</v>
      </c>
      <c r="D76" t="s">
        <v>17</v>
      </c>
      <c r="E76" t="s">
        <v>12</v>
      </c>
      <c r="F76" t="s">
        <v>42</v>
      </c>
      <c r="G76" t="s">
        <v>14</v>
      </c>
      <c r="H76">
        <v>8</v>
      </c>
      <c r="I76" s="5">
        <v>82747</v>
      </c>
    </row>
    <row r="77" spans="1:9" x14ac:dyDescent="0.3">
      <c r="A77" t="s">
        <v>107</v>
      </c>
      <c r="B77" s="2">
        <v>45459</v>
      </c>
      <c r="C77" t="s">
        <v>10</v>
      </c>
      <c r="D77" t="s">
        <v>29</v>
      </c>
      <c r="E77" t="s">
        <v>18</v>
      </c>
      <c r="F77" t="s">
        <v>22</v>
      </c>
      <c r="G77" t="s">
        <v>25</v>
      </c>
      <c r="H77">
        <v>22</v>
      </c>
      <c r="I77" s="5">
        <v>21997</v>
      </c>
    </row>
    <row r="78" spans="1:9" x14ac:dyDescent="0.3">
      <c r="A78" t="s">
        <v>108</v>
      </c>
      <c r="B78" s="2">
        <v>45328</v>
      </c>
      <c r="C78" t="s">
        <v>31</v>
      </c>
      <c r="D78" t="s">
        <v>11</v>
      </c>
      <c r="E78" t="s">
        <v>12</v>
      </c>
      <c r="F78" t="s">
        <v>19</v>
      </c>
      <c r="G78" t="s">
        <v>14</v>
      </c>
      <c r="H78">
        <v>23</v>
      </c>
      <c r="I78" s="5">
        <v>75261</v>
      </c>
    </row>
    <row r="79" spans="1:9" x14ac:dyDescent="0.3">
      <c r="A79" t="s">
        <v>109</v>
      </c>
      <c r="B79" s="2">
        <v>45297</v>
      </c>
      <c r="C79" t="s">
        <v>16</v>
      </c>
      <c r="D79" t="s">
        <v>11</v>
      </c>
      <c r="E79" t="s">
        <v>12</v>
      </c>
      <c r="F79" t="s">
        <v>19</v>
      </c>
      <c r="G79" t="s">
        <v>23</v>
      </c>
      <c r="H79">
        <v>22</v>
      </c>
      <c r="I79" s="5">
        <v>73401</v>
      </c>
    </row>
    <row r="80" spans="1:9" x14ac:dyDescent="0.3">
      <c r="A80" t="s">
        <v>110</v>
      </c>
      <c r="B80" s="2">
        <v>45649</v>
      </c>
      <c r="C80" t="s">
        <v>16</v>
      </c>
      <c r="D80" t="s">
        <v>53</v>
      </c>
      <c r="E80" t="s">
        <v>21</v>
      </c>
      <c r="F80" t="s">
        <v>40</v>
      </c>
      <c r="G80" t="s">
        <v>23</v>
      </c>
      <c r="H80">
        <v>19</v>
      </c>
      <c r="I80" s="5">
        <v>20296</v>
      </c>
    </row>
    <row r="81" spans="1:9" x14ac:dyDescent="0.3">
      <c r="A81" t="s">
        <v>111</v>
      </c>
      <c r="B81" s="2">
        <v>45429</v>
      </c>
      <c r="C81" t="s">
        <v>33</v>
      </c>
      <c r="D81" t="s">
        <v>11</v>
      </c>
      <c r="E81" t="s">
        <v>21</v>
      </c>
      <c r="F81" t="s">
        <v>40</v>
      </c>
      <c r="G81" t="s">
        <v>48</v>
      </c>
      <c r="H81">
        <v>8</v>
      </c>
      <c r="I81" s="5">
        <v>45561</v>
      </c>
    </row>
    <row r="82" spans="1:9" x14ac:dyDescent="0.3">
      <c r="A82" t="s">
        <v>112</v>
      </c>
      <c r="B82" s="2">
        <v>45598</v>
      </c>
      <c r="C82" t="s">
        <v>10</v>
      </c>
      <c r="D82" t="s">
        <v>17</v>
      </c>
      <c r="E82" t="s">
        <v>21</v>
      </c>
      <c r="F82" t="s">
        <v>13</v>
      </c>
      <c r="G82" t="s">
        <v>23</v>
      </c>
      <c r="H82">
        <v>4</v>
      </c>
      <c r="I82" s="5">
        <v>23422</v>
      </c>
    </row>
    <row r="83" spans="1:9" x14ac:dyDescent="0.3">
      <c r="A83" t="s">
        <v>113</v>
      </c>
      <c r="B83" s="2">
        <v>45648</v>
      </c>
      <c r="C83" t="s">
        <v>38</v>
      </c>
      <c r="D83" t="s">
        <v>29</v>
      </c>
      <c r="E83" t="s">
        <v>12</v>
      </c>
      <c r="F83" t="s">
        <v>22</v>
      </c>
      <c r="G83" t="s">
        <v>23</v>
      </c>
      <c r="H83">
        <v>24</v>
      </c>
      <c r="I83" s="5">
        <v>20051</v>
      </c>
    </row>
    <row r="84" spans="1:9" x14ac:dyDescent="0.3">
      <c r="A84" t="s">
        <v>114</v>
      </c>
      <c r="B84" s="2">
        <v>45502</v>
      </c>
      <c r="C84" t="s">
        <v>33</v>
      </c>
      <c r="D84" t="s">
        <v>53</v>
      </c>
      <c r="E84" t="s">
        <v>21</v>
      </c>
      <c r="F84" t="s">
        <v>42</v>
      </c>
      <c r="G84" t="s">
        <v>14</v>
      </c>
      <c r="H84">
        <v>13</v>
      </c>
      <c r="I84" s="5">
        <v>95181</v>
      </c>
    </row>
    <row r="85" spans="1:9" x14ac:dyDescent="0.3">
      <c r="A85" t="s">
        <v>115</v>
      </c>
      <c r="B85" s="2">
        <v>45294</v>
      </c>
      <c r="C85" t="s">
        <v>38</v>
      </c>
      <c r="D85" t="s">
        <v>11</v>
      </c>
      <c r="E85" t="s">
        <v>12</v>
      </c>
      <c r="F85" t="s">
        <v>19</v>
      </c>
      <c r="G85" t="s">
        <v>48</v>
      </c>
      <c r="H85">
        <v>15</v>
      </c>
      <c r="I85" s="5">
        <v>28422</v>
      </c>
    </row>
    <row r="86" spans="1:9" x14ac:dyDescent="0.3">
      <c r="A86" t="s">
        <v>116</v>
      </c>
      <c r="B86" s="2">
        <v>45590</v>
      </c>
      <c r="C86" t="s">
        <v>10</v>
      </c>
      <c r="D86" t="s">
        <v>11</v>
      </c>
      <c r="E86" t="s">
        <v>35</v>
      </c>
      <c r="F86" t="s">
        <v>22</v>
      </c>
      <c r="G86" t="s">
        <v>23</v>
      </c>
      <c r="H86">
        <v>6</v>
      </c>
      <c r="I86" s="5">
        <v>74083</v>
      </c>
    </row>
    <row r="87" spans="1:9" x14ac:dyDescent="0.3">
      <c r="A87" t="s">
        <v>117</v>
      </c>
      <c r="B87" s="2">
        <v>45546</v>
      </c>
      <c r="C87" t="s">
        <v>38</v>
      </c>
      <c r="D87" t="s">
        <v>17</v>
      </c>
      <c r="E87" t="s">
        <v>35</v>
      </c>
      <c r="F87" t="s">
        <v>19</v>
      </c>
      <c r="G87" t="s">
        <v>14</v>
      </c>
      <c r="H87">
        <v>23</v>
      </c>
      <c r="I87" s="5">
        <v>71294</v>
      </c>
    </row>
    <row r="88" spans="1:9" x14ac:dyDescent="0.3">
      <c r="A88" t="s">
        <v>118</v>
      </c>
      <c r="B88" s="2">
        <v>45497</v>
      </c>
      <c r="C88" t="s">
        <v>16</v>
      </c>
      <c r="D88" t="s">
        <v>11</v>
      </c>
      <c r="E88" t="s">
        <v>12</v>
      </c>
      <c r="F88" t="s">
        <v>19</v>
      </c>
      <c r="G88" t="s">
        <v>48</v>
      </c>
      <c r="H88">
        <v>29</v>
      </c>
      <c r="I88" s="5">
        <v>19340</v>
      </c>
    </row>
    <row r="89" spans="1:9" x14ac:dyDescent="0.3">
      <c r="A89" t="s">
        <v>119</v>
      </c>
      <c r="B89" s="2">
        <v>45638</v>
      </c>
      <c r="C89" t="s">
        <v>10</v>
      </c>
      <c r="D89" t="s">
        <v>17</v>
      </c>
      <c r="E89" t="s">
        <v>35</v>
      </c>
      <c r="F89" t="s">
        <v>19</v>
      </c>
      <c r="G89" t="s">
        <v>25</v>
      </c>
      <c r="H89">
        <v>27</v>
      </c>
      <c r="I89" s="5">
        <v>74241</v>
      </c>
    </row>
    <row r="90" spans="1:9" x14ac:dyDescent="0.3">
      <c r="A90" t="s">
        <v>120</v>
      </c>
      <c r="B90" s="2">
        <v>45297</v>
      </c>
      <c r="C90" t="s">
        <v>16</v>
      </c>
      <c r="D90" t="s">
        <v>53</v>
      </c>
      <c r="E90" t="s">
        <v>21</v>
      </c>
      <c r="F90" t="s">
        <v>13</v>
      </c>
      <c r="G90" t="s">
        <v>23</v>
      </c>
      <c r="H90">
        <v>19</v>
      </c>
      <c r="I90" s="5">
        <v>31401</v>
      </c>
    </row>
    <row r="91" spans="1:9" x14ac:dyDescent="0.3">
      <c r="A91" t="s">
        <v>121</v>
      </c>
      <c r="B91" s="2">
        <v>45333</v>
      </c>
      <c r="C91" t="s">
        <v>38</v>
      </c>
      <c r="D91" t="s">
        <v>53</v>
      </c>
      <c r="E91" t="s">
        <v>21</v>
      </c>
      <c r="F91" t="s">
        <v>42</v>
      </c>
      <c r="G91" t="s">
        <v>48</v>
      </c>
      <c r="H91">
        <v>18</v>
      </c>
      <c r="I91" s="5">
        <v>57816</v>
      </c>
    </row>
    <row r="92" spans="1:9" x14ac:dyDescent="0.3">
      <c r="A92" t="s">
        <v>122</v>
      </c>
      <c r="B92" s="2">
        <v>45437</v>
      </c>
      <c r="C92" t="s">
        <v>27</v>
      </c>
      <c r="D92" t="s">
        <v>17</v>
      </c>
      <c r="E92" t="s">
        <v>18</v>
      </c>
      <c r="F92" t="s">
        <v>42</v>
      </c>
      <c r="G92" t="s">
        <v>23</v>
      </c>
      <c r="H92">
        <v>24</v>
      </c>
      <c r="I92" s="5">
        <v>28630</v>
      </c>
    </row>
    <row r="93" spans="1:9" x14ac:dyDescent="0.3">
      <c r="A93" t="s">
        <v>123</v>
      </c>
      <c r="B93" s="2">
        <v>45500</v>
      </c>
      <c r="C93" t="s">
        <v>27</v>
      </c>
      <c r="D93" t="s">
        <v>17</v>
      </c>
      <c r="E93" t="s">
        <v>18</v>
      </c>
      <c r="F93" t="s">
        <v>42</v>
      </c>
      <c r="G93" t="s">
        <v>23</v>
      </c>
      <c r="H93">
        <v>19</v>
      </c>
      <c r="I93" s="5">
        <v>98972</v>
      </c>
    </row>
    <row r="94" spans="1:9" x14ac:dyDescent="0.3">
      <c r="A94" t="s">
        <v>124</v>
      </c>
      <c r="B94" s="2">
        <v>45505</v>
      </c>
      <c r="C94" t="s">
        <v>31</v>
      </c>
      <c r="D94" t="s">
        <v>11</v>
      </c>
      <c r="E94" t="s">
        <v>21</v>
      </c>
      <c r="F94" t="s">
        <v>19</v>
      </c>
      <c r="G94" t="s">
        <v>23</v>
      </c>
      <c r="H94">
        <v>2</v>
      </c>
      <c r="I94" s="5">
        <v>54175</v>
      </c>
    </row>
    <row r="95" spans="1:9" x14ac:dyDescent="0.3">
      <c r="A95" t="s">
        <v>125</v>
      </c>
      <c r="B95" s="2">
        <v>45575</v>
      </c>
      <c r="C95" t="s">
        <v>38</v>
      </c>
      <c r="D95" t="s">
        <v>29</v>
      </c>
      <c r="E95" t="s">
        <v>21</v>
      </c>
      <c r="F95" t="s">
        <v>42</v>
      </c>
      <c r="G95" t="s">
        <v>48</v>
      </c>
      <c r="H95">
        <v>23</v>
      </c>
      <c r="I95" s="5">
        <v>64321</v>
      </c>
    </row>
    <row r="96" spans="1:9" x14ac:dyDescent="0.3">
      <c r="A96" t="s">
        <v>126</v>
      </c>
      <c r="B96" s="2">
        <v>45520</v>
      </c>
      <c r="C96" t="s">
        <v>16</v>
      </c>
      <c r="D96" t="s">
        <v>11</v>
      </c>
      <c r="E96" t="s">
        <v>21</v>
      </c>
      <c r="F96" t="s">
        <v>13</v>
      </c>
      <c r="G96" t="s">
        <v>48</v>
      </c>
      <c r="H96">
        <v>5</v>
      </c>
      <c r="I96" s="5">
        <v>62319</v>
      </c>
    </row>
    <row r="97" spans="1:9" x14ac:dyDescent="0.3">
      <c r="A97" t="s">
        <v>127</v>
      </c>
      <c r="B97" s="2">
        <v>45348</v>
      </c>
      <c r="C97" t="s">
        <v>38</v>
      </c>
      <c r="D97" t="s">
        <v>53</v>
      </c>
      <c r="E97" t="s">
        <v>21</v>
      </c>
      <c r="F97" t="s">
        <v>19</v>
      </c>
      <c r="G97" t="s">
        <v>48</v>
      </c>
      <c r="H97">
        <v>8</v>
      </c>
      <c r="I97" s="5">
        <v>27090</v>
      </c>
    </row>
    <row r="98" spans="1:9" x14ac:dyDescent="0.3">
      <c r="A98" t="s">
        <v>128</v>
      </c>
      <c r="B98" s="2">
        <v>45311</v>
      </c>
      <c r="C98" t="s">
        <v>33</v>
      </c>
      <c r="D98" t="s">
        <v>53</v>
      </c>
      <c r="E98" t="s">
        <v>21</v>
      </c>
      <c r="F98" t="s">
        <v>40</v>
      </c>
      <c r="G98" t="s">
        <v>48</v>
      </c>
      <c r="H98">
        <v>3</v>
      </c>
      <c r="I98" s="5">
        <v>46924</v>
      </c>
    </row>
    <row r="99" spans="1:9" x14ac:dyDescent="0.3">
      <c r="A99" t="s">
        <v>129</v>
      </c>
      <c r="B99" s="2">
        <v>45303</v>
      </c>
      <c r="C99" t="s">
        <v>38</v>
      </c>
      <c r="D99" t="s">
        <v>29</v>
      </c>
      <c r="E99" t="s">
        <v>21</v>
      </c>
      <c r="F99" t="s">
        <v>42</v>
      </c>
      <c r="G99" t="s">
        <v>23</v>
      </c>
      <c r="H99">
        <v>12</v>
      </c>
      <c r="I99" s="5">
        <v>78795</v>
      </c>
    </row>
    <row r="100" spans="1:9" x14ac:dyDescent="0.3">
      <c r="A100" t="s">
        <v>130</v>
      </c>
      <c r="B100" s="2">
        <v>45543</v>
      </c>
      <c r="C100" t="s">
        <v>33</v>
      </c>
      <c r="D100" t="s">
        <v>11</v>
      </c>
      <c r="E100" t="s">
        <v>21</v>
      </c>
      <c r="F100" t="s">
        <v>42</v>
      </c>
      <c r="G100" t="s">
        <v>14</v>
      </c>
      <c r="H100">
        <v>12</v>
      </c>
      <c r="I100" s="5">
        <v>84564</v>
      </c>
    </row>
    <row r="101" spans="1:9" x14ac:dyDescent="0.3">
      <c r="A101" t="s">
        <v>131</v>
      </c>
      <c r="B101" s="2">
        <v>45553</v>
      </c>
      <c r="C101" t="s">
        <v>31</v>
      </c>
      <c r="D101" t="s">
        <v>29</v>
      </c>
      <c r="E101" t="s">
        <v>12</v>
      </c>
      <c r="F101" t="s">
        <v>22</v>
      </c>
      <c r="G101" t="s">
        <v>14</v>
      </c>
      <c r="H101">
        <v>16</v>
      </c>
      <c r="I101" s="5">
        <v>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Sheet6</vt:lpstr>
      <vt:lpstr>Sheet7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Oluwatimilehin Oluwagbemi</cp:lastModifiedBy>
  <dcterms:created xsi:type="dcterms:W3CDTF">2025-09-01T10:47:20Z</dcterms:created>
  <dcterms:modified xsi:type="dcterms:W3CDTF">2025-09-05T17:14:50Z</dcterms:modified>
</cp:coreProperties>
</file>